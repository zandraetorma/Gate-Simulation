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Katalon Automation Tool\Gate-Simulation\Test Data\"/>
    </mc:Choice>
  </mc:AlternateContent>
  <bookViews>
    <workbookView xWindow="0" yWindow="0" windowWidth="20490" windowHeight="6495"/>
  </bookViews>
  <sheets>
    <sheet name="Main" sheetId="1" r:id="rId1"/>
    <sheet name="configurations" sheetId="10" r:id="rId2"/>
    <sheet name="appointment" sheetId="9" r:id="rId3"/>
    <sheet name="export" sheetId="8" r:id="rId4"/>
    <sheet name="import" sheetId="6" r:id="rId5"/>
    <sheet name="add trucking company" sheetId="7" r:id="rId6"/>
    <sheet name="add tractor" sheetId="2" r:id="rId7"/>
    <sheet name="relate tractor to company" sheetId="3" r:id="rId8"/>
    <sheet name="add driver" sheetId="4" r:id="rId9"/>
    <sheet name="relate driver to company" sheetId="5" r:id="rId10"/>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O3" i="5"/>
  <c r="H4" i="5"/>
  <c r="O4" i="5"/>
  <c r="H5" i="5"/>
  <c r="O5" i="5"/>
  <c r="H6" i="5"/>
  <c r="O6" i="5"/>
  <c r="H7" i="5"/>
  <c r="O7" i="5"/>
  <c r="H8" i="5"/>
  <c r="O8" i="5"/>
  <c r="H9" i="5"/>
  <c r="O9" i="5"/>
  <c r="H10" i="5"/>
  <c r="O10" i="5"/>
  <c r="H11" i="5"/>
  <c r="O11" i="5"/>
  <c r="H12" i="5"/>
  <c r="O12" i="5"/>
  <c r="H13" i="5"/>
  <c r="O13" i="5"/>
  <c r="H14" i="5"/>
  <c r="O14" i="5"/>
  <c r="H15" i="5"/>
  <c r="O15" i="5"/>
  <c r="H16" i="5"/>
  <c r="O16" i="5"/>
  <c r="H17" i="5"/>
  <c r="O17" i="5"/>
  <c r="H18" i="5"/>
  <c r="O18" i="5"/>
  <c r="H19" i="5"/>
  <c r="O19" i="5"/>
  <c r="H20" i="5"/>
  <c r="O20" i="5"/>
  <c r="H21" i="5"/>
  <c r="O21" i="5"/>
  <c r="H3" i="4"/>
  <c r="M3" i="4"/>
  <c r="H4" i="4"/>
  <c r="M4" i="4"/>
  <c r="H5" i="4"/>
  <c r="M5" i="4"/>
  <c r="H6" i="4"/>
  <c r="M6" i="4"/>
  <c r="H7" i="4"/>
  <c r="M7" i="4"/>
  <c r="H8" i="4"/>
  <c r="M8" i="4"/>
  <c r="H9" i="4"/>
  <c r="M9" i="4"/>
  <c r="H10" i="4"/>
  <c r="M10" i="4"/>
  <c r="H11" i="4"/>
  <c r="M11" i="4"/>
  <c r="H12" i="4"/>
  <c r="M12" i="4"/>
  <c r="H13" i="4"/>
  <c r="M13" i="4"/>
  <c r="H14" i="4"/>
  <c r="M14" i="4"/>
  <c r="H15" i="4"/>
  <c r="M15" i="4"/>
  <c r="H16" i="4"/>
  <c r="M16" i="4"/>
  <c r="H17" i="4"/>
  <c r="M17" i="4"/>
  <c r="H18" i="4"/>
  <c r="M18" i="4"/>
  <c r="H19" i="4"/>
  <c r="M19" i="4"/>
  <c r="H20" i="4"/>
  <c r="M20" i="4"/>
  <c r="H21" i="4"/>
  <c r="M21" i="4"/>
  <c r="H3" i="3"/>
  <c r="O3" i="3"/>
  <c r="H4" i="3"/>
  <c r="O4" i="3"/>
  <c r="H5" i="3"/>
  <c r="O5" i="3"/>
  <c r="H6" i="3"/>
  <c r="O6" i="3"/>
  <c r="H7" i="3"/>
  <c r="O7" i="3"/>
  <c r="H8" i="3"/>
  <c r="O8" i="3"/>
  <c r="H9" i="3"/>
  <c r="O9" i="3"/>
  <c r="H10" i="3"/>
  <c r="O10" i="3"/>
  <c r="H11" i="3"/>
  <c r="O11" i="3"/>
  <c r="H12" i="3"/>
  <c r="O12" i="3"/>
  <c r="H13" i="3"/>
  <c r="O13" i="3"/>
  <c r="H14" i="3"/>
  <c r="O14" i="3"/>
  <c r="H15" i="3"/>
  <c r="O15" i="3"/>
  <c r="H16" i="3"/>
  <c r="O16" i="3"/>
  <c r="H17" i="3"/>
  <c r="O17" i="3"/>
  <c r="H18" i="3"/>
  <c r="O18" i="3"/>
  <c r="H19" i="3"/>
  <c r="O19" i="3"/>
  <c r="H20" i="3"/>
  <c r="O20" i="3"/>
  <c r="H21" i="3"/>
  <c r="O21" i="3"/>
  <c r="F3" i="2"/>
  <c r="K3" i="2"/>
  <c r="F4" i="2"/>
  <c r="K4" i="2"/>
  <c r="F5" i="2"/>
  <c r="K5" i="2"/>
  <c r="F6" i="2"/>
  <c r="K6" i="2"/>
  <c r="F7" i="2"/>
  <c r="K7" i="2"/>
  <c r="F8" i="2"/>
  <c r="K8" i="2"/>
  <c r="F9" i="2"/>
  <c r="K9" i="2"/>
  <c r="F10" i="2"/>
  <c r="K10" i="2"/>
  <c r="F11" i="2"/>
  <c r="K11" i="2"/>
  <c r="F12" i="2"/>
  <c r="K12" i="2"/>
  <c r="F13" i="2"/>
  <c r="K13" i="2"/>
  <c r="F14" i="2"/>
  <c r="K14" i="2"/>
  <c r="F15" i="2"/>
  <c r="K15" i="2"/>
  <c r="F16" i="2"/>
  <c r="K16" i="2"/>
  <c r="F17" i="2"/>
  <c r="K17" i="2"/>
  <c r="F18" i="2"/>
  <c r="K18" i="2"/>
  <c r="F19" i="2"/>
  <c r="K19" i="2"/>
  <c r="F20" i="2"/>
  <c r="K20" i="2"/>
  <c r="F21" i="2"/>
  <c r="K21" i="2"/>
  <c r="D32" i="1"/>
  <c r="E68" i="1"/>
  <c r="S2" i="7" l="1"/>
  <c r="O2" i="5" l="1"/>
  <c r="M2" i="4"/>
  <c r="H2" i="5" l="1"/>
  <c r="H2" i="4"/>
  <c r="O2" i="3"/>
  <c r="H2" i="3"/>
  <c r="K2" i="2"/>
  <c r="F2" i="2"/>
  <c r="W2" i="7"/>
  <c r="M2" i="7"/>
  <c r="F2" i="7"/>
  <c r="B78" i="1"/>
  <c r="B44" i="1"/>
  <c r="B43" i="1"/>
  <c r="B42" i="1"/>
</calcChain>
</file>

<file path=xl/sharedStrings.xml><?xml version="1.0" encoding="utf-8"?>
<sst xmlns="http://schemas.openxmlformats.org/spreadsheetml/2006/main" count="3574" uniqueCount="526">
  <si>
    <t>Create Gate Visit By:</t>
  </si>
  <si>
    <t>Select Site</t>
  </si>
  <si>
    <t>Interval Range (in_min)</t>
  </si>
  <si>
    <t>Export XLSX File Name</t>
  </si>
  <si>
    <t>Create By Appointment in Postman (for appointment only)</t>
  </si>
  <si>
    <t>min</t>
  </si>
  <si>
    <t>max</t>
  </si>
  <si>
    <t>Appointment Start Time</t>
  </si>
  <si>
    <t>Cy Gate Lane</t>
  </si>
  <si>
    <t>Operator</t>
  </si>
  <si>
    <t>Outbound Visit</t>
  </si>
  <si>
    <t>POL</t>
  </si>
  <si>
    <t>POD</t>
  </si>
  <si>
    <t>Booking Number</t>
  </si>
  <si>
    <t>ISO Type</t>
  </si>
  <si>
    <t>SS</t>
  </si>
  <si>
    <t>Laden Status</t>
  </si>
  <si>
    <t>Number of Data</t>
  </si>
  <si>
    <t>Total</t>
  </si>
  <si>
    <t>trucking co.</t>
  </si>
  <si>
    <t>truck license</t>
  </si>
  <si>
    <t>license plate</t>
  </si>
  <si>
    <t>driver id</t>
  </si>
  <si>
    <t>driver name</t>
  </si>
  <si>
    <t>Truck and Driver Creation</t>
  </si>
  <si>
    <t>EXPORT Preadvise Container</t>
  </si>
  <si>
    <t>Gate Data Preparation</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</si>
  <si>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</si>
  <si>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</si>
  <si>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</si>
  <si>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</si>
  <si>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</si>
  <si>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</si>
  <si>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</si>
  <si>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</si>
  <si>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</si>
  <si>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</si>
  <si>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</si>
  <si>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</si>
  <si>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</si>
  <si>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</si>
  <si>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</si>
  <si>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Oracle</t>
  </si>
  <si>
    <t>Booking Operator</t>
  </si>
  <si>
    <t>IMPORT Container Query</t>
  </si>
  <si>
    <t>INSERT INTO TMS_TID_TKCO (TK_CO_I, LST_UPDT_D, TK_CO_N, DELETED,  PARTNER_TX_D, LAST_UPDATE_USER_AN) VALUES ('</t>
  </si>
  <si>
    <t>trucking company code</t>
  </si>
  <si>
    <t>trucking company name</t>
  </si>
  <si>
    <t>', NOW_GMT(), '</t>
  </si>
  <si>
    <t>', 'N', NOW_GMT(), 'SYSTEM');</t>
  </si>
  <si>
    <t>Bkg Opr</t>
  </si>
  <si>
    <t>*Paste query results on Import sheet located on this workbook before clicking the generate test data button</t>
  </si>
  <si>
    <t>Number of In Gate Lanes</t>
  </si>
  <si>
    <t>*adds 1 hour for deadline, do not change the format (yyyy-mm-dd h:mm)</t>
  </si>
  <si>
    <t>Trucking Co. Code</t>
  </si>
  <si>
    <t>Trucking Co. Name</t>
  </si>
  <si>
    <t>Truck License</t>
  </si>
  <si>
    <t>License Plate</t>
  </si>
  <si>
    <t>Driver ID</t>
  </si>
  <si>
    <t>Driver Name</t>
  </si>
  <si>
    <t>Number of Trucking Data</t>
  </si>
  <si>
    <t>MSK</t>
  </si>
  <si>
    <t>Driver</t>
  </si>
  <si>
    <t>DB Connection</t>
  </si>
  <si>
    <t>Server</t>
  </si>
  <si>
    <t>Port</t>
  </si>
  <si>
    <t>Uid</t>
  </si>
  <si>
    <t>Pwd</t>
  </si>
  <si>
    <t>PostgreSQL Unicode</t>
  </si>
  <si>
    <t>POSTGRESDB02</t>
  </si>
  <si>
    <t>lqnqazdc</t>
  </si>
  <si>
    <t>lqnqa$ztms_app</t>
  </si>
  <si>
    <t>p2II9JLIaea06</t>
  </si>
  <si>
    <t>Vessel Visit Creation</t>
  </si>
  <si>
    <t>Booking Creation</t>
  </si>
  <si>
    <t>LQN</t>
  </si>
  <si>
    <t>lqnqa02</t>
  </si>
  <si>
    <t>127.0.0.1</t>
  </si>
  <si>
    <t>welcome</t>
  </si>
  <si>
    <t>en-US</t>
  </si>
  <si>
    <t>INTERNATIONAL</t>
  </si>
  <si>
    <t>Pickup Quantity</t>
  </si>
  <si>
    <t>Arrive Quantity</t>
  </si>
  <si>
    <t>B1</t>
  </si>
  <si>
    <t>Lane Direction</t>
  </si>
  <si>
    <t>Out Lane Name</t>
  </si>
  <si>
    <t>In Lane Name</t>
  </si>
  <si>
    <t>Vessel Visit Code</t>
  </si>
  <si>
    <t>Vessel Service Code</t>
  </si>
  <si>
    <t>Schedule Type Code</t>
  </si>
  <si>
    <t>Visit Classification Code</t>
  </si>
  <si>
    <t>Visit Operator Code</t>
  </si>
  <si>
    <t>Terminal Operator Code</t>
  </si>
  <si>
    <t>Contract Terminal Operator Code</t>
  </si>
  <si>
    <t>Vessel Code</t>
  </si>
  <si>
    <t>Voyage In</t>
  </si>
  <si>
    <t>Voyage Out</t>
  </si>
  <si>
    <t>ETA</t>
  </si>
  <si>
    <t>ETD</t>
  </si>
  <si>
    <t>ETB</t>
  </si>
  <si>
    <t>Vessel VisitCode</t>
  </si>
  <si>
    <t>Container Types</t>
  </si>
  <si>
    <t>Container No. Prefix</t>
  </si>
  <si>
    <t>Berth No.</t>
  </si>
  <si>
    <t>Booking No.</t>
  </si>
  <si>
    <t>User ID</t>
  </si>
  <si>
    <t>Current Data Scope</t>
  </si>
  <si>
    <t>IP</t>
  </si>
  <si>
    <t>Password</t>
  </si>
  <si>
    <t>Locale</t>
  </si>
  <si>
    <t>Vessel Visit and Booking API</t>
  </si>
  <si>
    <t>CLLQN</t>
  </si>
  <si>
    <t>SCHEDULED</t>
  </si>
  <si>
    <t>QAVS</t>
  </si>
  <si>
    <t>QAVC</t>
  </si>
  <si>
    <t>SGSIN</t>
  </si>
  <si>
    <t>Custom Visit Code</t>
  </si>
  <si>
    <t>* ST Full not yet supported in the script, as it need to tick dray in</t>
  </si>
  <si>
    <t>Bkg No.</t>
  </si>
  <si>
    <t>apptNbr</t>
  </si>
  <si>
    <t>truckCompanyCode</t>
  </si>
  <si>
    <t>truckLicenseNbr</t>
  </si>
  <si>
    <t>driverId</t>
  </si>
  <si>
    <t>remarks</t>
  </si>
  <si>
    <t>apptTime</t>
  </si>
  <si>
    <t>apptDeadline</t>
  </si>
  <si>
    <t>gateMissionTypeCode1</t>
  </si>
  <si>
    <t>gateScenarioCode1</t>
  </si>
  <si>
    <t>bookingNbr1</t>
  </si>
  <si>
    <t>bookingOperator1</t>
  </si>
  <si>
    <t>eqpNbr1</t>
  </si>
  <si>
    <t>cntrType1</t>
  </si>
  <si>
    <t>operator1</t>
  </si>
  <si>
    <t>docTypeCode1</t>
  </si>
  <si>
    <t>docReferenceNbr1</t>
  </si>
  <si>
    <t>gateMissionTypeCode2</t>
  </si>
  <si>
    <t>gateScenarioCode2</t>
  </si>
  <si>
    <t>bookingNbr2</t>
  </si>
  <si>
    <t>bookingOperator2</t>
  </si>
  <si>
    <t>eqpNbr2</t>
  </si>
  <si>
    <t>cntrType2</t>
  </si>
  <si>
    <t>operator2</t>
  </si>
  <si>
    <t>docTypeCode2</t>
  </si>
  <si>
    <t>docReferenceNbr2</t>
  </si>
  <si>
    <t>gateMissionTypeCode3</t>
  </si>
  <si>
    <t>gateScenarioCode3</t>
  </si>
  <si>
    <t>bookingNbr3</t>
  </si>
  <si>
    <t>bookingOperator3</t>
  </si>
  <si>
    <t>eqpNbr3</t>
  </si>
  <si>
    <t>cntrType3</t>
  </si>
  <si>
    <t>operator3</t>
  </si>
  <si>
    <t>docTypeCode3</t>
  </si>
  <si>
    <t>docReferenceNbr3</t>
  </si>
  <si>
    <t>gateMissionTypeCode4</t>
  </si>
  <si>
    <t>gateScenarioCode4</t>
  </si>
  <si>
    <t>bookingNbr4</t>
  </si>
  <si>
    <t>bookingOperator4</t>
  </si>
  <si>
    <t>eqpNbr4</t>
  </si>
  <si>
    <t>cntrType4</t>
  </si>
  <si>
    <t>operator4</t>
  </si>
  <si>
    <t>docTypeCode4</t>
  </si>
  <si>
    <t>docReferenceNbr4</t>
  </si>
  <si>
    <t>EX</t>
  </si>
  <si>
    <t>F</t>
  </si>
  <si>
    <t>R</t>
  </si>
  <si>
    <t>EXRL</t>
  </si>
  <si>
    <t>P</t>
  </si>
  <si>
    <t>IMPL</t>
  </si>
  <si>
    <t>test</t>
  </si>
  <si>
    <t>CCS-REFNBR</t>
  </si>
  <si>
    <t>Site</t>
  </si>
  <si>
    <t xml:space="preserve">API Authentication </t>
  </si>
  <si>
    <t>Site Login Credentials</t>
  </si>
  <si>
    <t>user</t>
  </si>
  <si>
    <t>password</t>
  </si>
  <si>
    <t>site link</t>
  </si>
  <si>
    <t>cy gate lane link</t>
  </si>
  <si>
    <t>logs path</t>
  </si>
  <si>
    <t>LQNQA</t>
  </si>
  <si>
    <t>t8bi/9oinNc=</t>
  </si>
  <si>
    <t>https://zodiacappqa.lqn.zodiac-cloud.com/zodiac/fdn/</t>
  </si>
  <si>
    <t>https://zodiacappqa.lqn.zodiac-cloud.com/cygate/swg.html</t>
  </si>
  <si>
    <t>\\\\lqnqa-a01\\work\\ZARA\\zara\\logs</t>
  </si>
  <si>
    <t>CZ1QP</t>
  </si>
  <si>
    <t>postgresdb01</t>
  </si>
  <si>
    <t>cz1qpzdc</t>
  </si>
  <si>
    <t>cz1qp$cz1qp01</t>
  </si>
  <si>
    <t>cz1qp02</t>
  </si>
  <si>
    <t>CZ1</t>
  </si>
  <si>
    <t>welcome@1</t>
  </si>
  <si>
    <t>8ONjX3ggx5Swhsu1i0x+ew==</t>
  </si>
  <si>
    <t>https://zodiacappqp.cz1.zodiac-cloud.com/zodiac/fdn/</t>
  </si>
  <si>
    <t>https://zodiacappqa.cz1.zodiac-cloud.com/cygate/swg.html</t>
  </si>
  <si>
    <t>\\\\cz1qp-a01\\work\\ZARA\\zara\\logs\\</t>
  </si>
  <si>
    <t>RUN THIS IN ZARA DB</t>
  </si>
  <si>
    <t>INSERT INTO CAT_ORGANIZATION( CODE, NAME,CONTACT_EMAIL,CONTACT_PHONE,CONTACT_NAME,SKEY,SITE_KEY,VERSION,CREATE_BY,CREATE_TIME) values ('</t>
  </si>
  <si>
    <t>',null,null,null,NEXTVAL('ZARA_SEQUENCE'),(SELECT SKEY FROM CAT_SITE WHERE CODE = '</t>
  </si>
  <si>
    <t>',</t>
  </si>
  <si>
    <t>'),0,'SYSTEM',NOW_GMT());</t>
  </si>
  <si>
    <t>INSERT INTO CAT_BIZ_UNIT( CODE, NAME,EMAIL,TAX_ID_NBR,ADDRESS,PHONE,SKEY,BIZ_TYPE_CODE,ORG_KEY,SITE_KEY,VERSION,CREATE_BY,CREATE_TIME) values ('</t>
  </si>
  <si>
    <t>')),(SELECT SKEY FROM CAT_SITE WHERE CODE = '</t>
  </si>
  <si>
    <t>',null,null,null,null,NEXTVAL('ZARA_SEQUENCE'),'TRUCKING_COMPANY',(SELECT SKEY FROM CAT_ORGANIZATION WHERE CODE = '</t>
  </si>
  <si>
    <t>')));</t>
  </si>
  <si>
    <t>INSERT INTO TOS_TRUCK_COMPANY(ADDRESS_l1,ADDRESS_l2,PHONE_NO,CONTACT_PERSON,SKEY,BIZ_UNIT_KEY) values (null,null,null,null,NEXTVAL('ZARA_SEQUENCE'),(SELECT SKEY FROM CAT_BIZ_UNIT WHERE  BIZ_TYPE_CODE = 'TRUCKING_COMPANY' AND  CODE = '</t>
  </si>
  <si>
    <t>' AND SITE_KEY = (SELECT SKEY FROM CAT_SITE WHERE CODE = '</t>
  </si>
  <si>
    <t>INSERT INTO TOS_TRACTOR(TRACTOR_ID,LICENSE_PLATE,SKEY,SITE_KEY,TRACTOR_STATUS_CODE,CREATE_BY,CREATE_TIME) values ('</t>
  </si>
  <si>
    <t>',NEXTVAL('ZARA_SEQUENCE'),(SELECT SKEY FROM CAT_SITE WHERE CODE = '</t>
  </si>
  <si>
    <t>INSERT INTO TOS_TRUCK_COMPANY_TRACTOR(SKEY,TRUCK_COMPANY_KEY,TRACTOR_KEY,CREATE_BY,CREATE_TIME) values (NEXTVAL('ZARA_SEQUENCE'),(SELECT SKEY FROM TOS_TRUCK_COMPANY WHERE BIZ_UNIT_KEY = (SELECT SKEY FROM CAT_BIZ_UNIT WHERE BIZ_TYPE_CODE = 'TRUCKING_COMPANY' AND CODE = '</t>
  </si>
  <si>
    <t xml:space="preserve"> AND  SITE_KEY = (SELECT SKEY FROM CAT_SITE WHERE CODE = '</t>
  </si>
  <si>
    <t>'))),(SELECT SKEY FROM TOS_TRACTOR WHERE TRACTOR_ID = '</t>
  </si>
  <si>
    <t>' AND  SITE_KEY = (SELECT SKEY FROM CAT_SITE WHERE CODE = '</t>
  </si>
  <si>
    <t>')),'SYSTEM',NOW_GMT());</t>
  </si>
  <si>
    <t>INSERT INTO TOS_DRIVER( DRIVER_ID,NAME,SKEY,SITE_KEY,CREATE_BY,CREATE_TIME) values ('</t>
  </si>
  <si>
    <t>'),'SYSTEM',NOW_GMT());</t>
  </si>
  <si>
    <t>INSERT INTO TOS_TRUCK_COMPANY_DRIVER(SKEY,TRUCK_COMPANY_KEY,DRIVER_KEY) values (NEXTVAL('ZARA_SEQUENCE'),(SELECT SKEY FROM TOS_TRUCK_COMPANY WHERE BIZ_UNIT_KEY = (SELECT SKEY FROM CAT_BIZ_UNIT WHERE BIZ_TYPE_CODE = 'TRUCKING_COMPANY' AND CODE = '</t>
  </si>
  <si>
    <t>'))),(SELECT SKEY FROM TOS_DRIVER WHERE DRIVER_ID = '</t>
  </si>
  <si>
    <t>lqnqa$zopn_app</t>
  </si>
  <si>
    <t>qp$zopn_app</t>
  </si>
  <si>
    <t>Database (TMS)</t>
  </si>
  <si>
    <t>Database (ZARA)</t>
  </si>
  <si>
    <t>I1</t>
  </si>
  <si>
    <t>O1</t>
  </si>
  <si>
    <t>IN</t>
  </si>
  <si>
    <r>
      <t>select cntr_an, shipping_status_code , oper_c, container_type_c, decode(is_laden, 0, 'Empty', 1, 'FCL') as laden_status,sizetype_size_an from tms_cntr_grp1 where shipping_status_code = 'IM' and loc_s = 'Y' and in_vessel_visit_c = '</t>
    </r>
    <r>
      <rPr>
        <b/>
        <sz val="12"/>
        <color rgb="FF00FF00"/>
        <rFont val="Calibri"/>
        <family val="2"/>
        <scheme val="minor"/>
      </rPr>
      <t>ZACE1000</t>
    </r>
    <r>
      <rPr>
        <sz val="12"/>
        <rFont val="Calibri"/>
        <family val="2"/>
        <scheme val="minor"/>
      </rPr>
      <t>';</t>
    </r>
  </si>
  <si>
    <r>
      <t>select cntr_an, shipping_status_code , oper_c, container_type_c, case when is_laden &gt; 0 then 'FCL'else 'Empty' end as laden_status,sizetype_size_an, bkg_i from tms_cntr_grp1 where shipping_status_code = 'IM' and loc_s = 'Y' and in_vessel_visit_c = '</t>
    </r>
    <r>
      <rPr>
        <b/>
        <sz val="12"/>
        <color rgb="FF00FF00"/>
        <rFont val="Calibri"/>
        <family val="2"/>
        <scheme val="minor"/>
      </rPr>
      <t>ZACE1000</t>
    </r>
    <r>
      <rPr>
        <sz val="12"/>
        <rFont val="Calibri"/>
        <family val="2"/>
        <scheme val="minor"/>
      </rPr>
      <t>';</t>
    </r>
  </si>
  <si>
    <t>ZAAI0000010</t>
  </si>
  <si>
    <t>IM</t>
  </si>
  <si>
    <t>2000</t>
  </si>
  <si>
    <t>FCL</t>
  </si>
  <si>
    <t>20</t>
  </si>
  <si>
    <t>ZAAI0000009</t>
  </si>
  <si>
    <t>ZAAH0000002</t>
  </si>
  <si>
    <t>ZESA0000006</t>
  </si>
  <si>
    <t>ZAAI0000003</t>
  </si>
  <si>
    <t>ZAAI0000002</t>
  </si>
  <si>
    <t>ZETA0000010</t>
  </si>
  <si>
    <t>ZETA0000009</t>
  </si>
  <si>
    <t>ZAAI0000004</t>
  </si>
  <si>
    <t>ZETA0000005</t>
  </si>
  <si>
    <t>ZAAI0000006</t>
  </si>
  <si>
    <t>ZETA0000003</t>
  </si>
  <si>
    <t>ZETA0000001</t>
  </si>
  <si>
    <t>ZETA0000008</t>
  </si>
  <si>
    <t>ZETA0000007</t>
  </si>
  <si>
    <t>ZETA0000006</t>
  </si>
  <si>
    <t>ZETA0000002</t>
  </si>
  <si>
    <t>ZEUA0000010</t>
  </si>
  <si>
    <t>ZEUA0000005</t>
  </si>
  <si>
    <t>ZEUA0000003</t>
  </si>
  <si>
    <t>ZEUA0000002</t>
  </si>
  <si>
    <t>ZEUA0000007</t>
  </si>
  <si>
    <t>ZEUA0000014</t>
  </si>
  <si>
    <t>ZEUA0000012</t>
  </si>
  <si>
    <t>ZEUA0000018</t>
  </si>
  <si>
    <t>ZEUA0000017</t>
  </si>
  <si>
    <t>ZEUA0000008</t>
  </si>
  <si>
    <t>ZEUA0000015</t>
  </si>
  <si>
    <t>ZEUA0000009</t>
  </si>
  <si>
    <t>ZEVA0000003</t>
  </si>
  <si>
    <t>ZEVA0000009</t>
  </si>
  <si>
    <t>ZEVA0000008</t>
  </si>
  <si>
    <t>ZEVA0000019</t>
  </si>
  <si>
    <t>ZEVA0000005</t>
  </si>
  <si>
    <t>ZEVA0000001</t>
  </si>
  <si>
    <t>ZEVA0000018</t>
  </si>
  <si>
    <t>ZEVA0000004</t>
  </si>
  <si>
    <t>ZEVA0000015</t>
  </si>
  <si>
    <t>ZEVA0000017</t>
  </si>
  <si>
    <t>ZEVA0000007</t>
  </si>
  <si>
    <t>ZAAL0000004</t>
  </si>
  <si>
    <t>ZAAL0000007</t>
  </si>
  <si>
    <t>ZAAL0000005</t>
  </si>
  <si>
    <t>ZAAL0000008</t>
  </si>
  <si>
    <t>ZAAL0000003</t>
  </si>
  <si>
    <t>ZAAL0000002</t>
  </si>
  <si>
    <t>ZAAL0000001</t>
  </si>
  <si>
    <t>ZAAL0000006</t>
  </si>
  <si>
    <t>ZEVA0000014</t>
  </si>
  <si>
    <t>ZEYA0000015</t>
  </si>
  <si>
    <t>ZEVA0000002</t>
  </si>
  <si>
    <t>ZEYA0000010</t>
  </si>
  <si>
    <t>ZEYA0000006</t>
  </si>
  <si>
    <t>ZEYA0000012</t>
  </si>
  <si>
    <t>ZEEA0000003</t>
  </si>
  <si>
    <t>ZEEA0000002</t>
  </si>
  <si>
    <t>ZEEA0000005</t>
  </si>
  <si>
    <t>ZEEA0000001</t>
  </si>
  <si>
    <t>2010</t>
  </si>
  <si>
    <t>ZEEA0000008</t>
  </si>
  <si>
    <t>ZEEA0000009</t>
  </si>
  <si>
    <t>ZEEA0000006</t>
  </si>
  <si>
    <t>ZEEA0000004</t>
  </si>
  <si>
    <t>ZEYA0000016</t>
  </si>
  <si>
    <t>ZEYA0000014</t>
  </si>
  <si>
    <t>ZEYA0000005</t>
  </si>
  <si>
    <t>ZEYA0000004</t>
  </si>
  <si>
    <t>ZEYA0000001</t>
  </si>
  <si>
    <t>ZEGA0000005</t>
  </si>
  <si>
    <t>ZEGA0000003</t>
  </si>
  <si>
    <t>ZEGA0000001</t>
  </si>
  <si>
    <t>ZEGA0000008</t>
  </si>
  <si>
    <t>ZEGA0000010</t>
  </si>
  <si>
    <t>ZEGA0000006</t>
  </si>
  <si>
    <t>ZEGA0000002</t>
  </si>
  <si>
    <t>ZAAA0000011</t>
  </si>
  <si>
    <t>ZEZA0000011</t>
  </si>
  <si>
    <t>ZEZA0000005</t>
  </si>
  <si>
    <t>ZEKA0000001</t>
  </si>
  <si>
    <t>ZEKA0000003</t>
  </si>
  <si>
    <t>ZEKA0000006</t>
  </si>
  <si>
    <t>ZEKA0000009</t>
  </si>
  <si>
    <t>ZEKA0000010</t>
  </si>
  <si>
    <t>ZEKA0000002</t>
  </si>
  <si>
    <t>ZEKA0000008</t>
  </si>
  <si>
    <t>ZEKA0000004</t>
  </si>
  <si>
    <t>ZAAA0000002</t>
  </si>
  <si>
    <t>ZAAA0000018</t>
  </si>
  <si>
    <t>ZAAA0000004</t>
  </si>
  <si>
    <t>ZAAA0000001</t>
  </si>
  <si>
    <t>ZAAA0000003</t>
  </si>
  <si>
    <t>ZAAA0000005</t>
  </si>
  <si>
    <t>ZAAB0000014</t>
  </si>
  <si>
    <t>ZAAA0000016</t>
  </si>
  <si>
    <t>ZAAA0000006</t>
  </si>
  <si>
    <t>ZAAA0000009</t>
  </si>
  <si>
    <t>ZAAA0000007</t>
  </si>
  <si>
    <t>ZAAA0000012</t>
  </si>
  <si>
    <t>ZAAA0000017</t>
  </si>
  <si>
    <t>ZAAA0000008</t>
  </si>
  <si>
    <t>ZAAB0000016</t>
  </si>
  <si>
    <t>ZAAA0000010</t>
  </si>
  <si>
    <t>ZAAA0000019</t>
  </si>
  <si>
    <t>ZAAB0000005</t>
  </si>
  <si>
    <t>ZAAA0000013</t>
  </si>
  <si>
    <t>ZAAB0000003</t>
  </si>
  <si>
    <t>ZAAB0000006</t>
  </si>
  <si>
    <t>ZAAA0000014</t>
  </si>
  <si>
    <t>ZAAB0000017</t>
  </si>
  <si>
    <t>ZEEA0000007</t>
  </si>
  <si>
    <t>ZAAB0000002</t>
  </si>
  <si>
    <t>ZAAB0000001</t>
  </si>
  <si>
    <t>ZAAB0000004</t>
  </si>
  <si>
    <t>ZEEA0000010</t>
  </si>
  <si>
    <t>ZAAB0000018</t>
  </si>
  <si>
    <t>ZAAB0000013</t>
  </si>
  <si>
    <t>ZAAA0000015</t>
  </si>
  <si>
    <t>ZAAB0000007</t>
  </si>
  <si>
    <t>ZAAA0000020</t>
  </si>
  <si>
    <t>ZAAB0000008</t>
  </si>
  <si>
    <t>ZAAB0000015</t>
  </si>
  <si>
    <t>ZAAB0000009</t>
  </si>
  <si>
    <t>ZEUA0000013</t>
  </si>
  <si>
    <t>ZEUA0000019</t>
  </si>
  <si>
    <t>ZEVA0000013</t>
  </si>
  <si>
    <t>ZEOA0000006</t>
  </si>
  <si>
    <t>ZEOA0000004</t>
  </si>
  <si>
    <t>ZEOA0000010</t>
  </si>
  <si>
    <t>ZEOA0000009</t>
  </si>
  <si>
    <t>ZEOA0000008</t>
  </si>
  <si>
    <t>ZEOA0000007</t>
  </si>
  <si>
    <t>ZEOA0000001</t>
  </si>
  <si>
    <t>ZEUA0000001</t>
  </si>
  <si>
    <t>ZETA0000004</t>
  </si>
  <si>
    <t>ZEUA0000020</t>
  </si>
  <si>
    <t>ZEUA0000004</t>
  </si>
  <si>
    <t>ZEUA0000016</t>
  </si>
  <si>
    <t>ZEUA0000006</t>
  </si>
  <si>
    <t>ZEUA0000011</t>
  </si>
  <si>
    <t>ZEPA0000008</t>
  </si>
  <si>
    <t>ZAAQ0000001</t>
  </si>
  <si>
    <t>ZEPA0000006</t>
  </si>
  <si>
    <t>ZAAQ0000004</t>
  </si>
  <si>
    <t>ZAAQ0000007</t>
  </si>
  <si>
    <t>ZAAQ0000010</t>
  </si>
  <si>
    <t>ZAAQ0000008</t>
  </si>
  <si>
    <t>ZAAQ0000009</t>
  </si>
  <si>
    <t>ZAAQ0000003</t>
  </si>
  <si>
    <t>ZAAQ0000002</t>
  </si>
  <si>
    <t>ZAAQ0000005</t>
  </si>
  <si>
    <t>ZAAQ0000006</t>
  </si>
  <si>
    <t>ZEQA0000007</t>
  </si>
  <si>
    <t>ZEQA0000005</t>
  </si>
  <si>
    <t>ZAAB0000011</t>
  </si>
  <si>
    <t>ZERA0000002</t>
  </si>
  <si>
    <t>ZERA0000010</t>
  </si>
  <si>
    <t>ZEZA0000006</t>
  </si>
  <si>
    <t>ZEZA0000015</t>
  </si>
  <si>
    <t>ZEZA0000017</t>
  </si>
  <si>
    <t>ZESA0000004</t>
  </si>
  <si>
    <t>ZESA0000009</t>
  </si>
  <si>
    <t>ZESA0000010</t>
  </si>
  <si>
    <t>ZAAC0000004</t>
  </si>
  <si>
    <t>ZESA0000001</t>
  </si>
  <si>
    <t>ZESA0000003</t>
  </si>
  <si>
    <t>ZESA0000008</t>
  </si>
  <si>
    <t>ZESA0000007</t>
  </si>
  <si>
    <t>ZESA0000002</t>
  </si>
  <si>
    <t>ZESA0000005</t>
  </si>
  <si>
    <t>ZAAB0000020</t>
  </si>
  <si>
    <t>Empty</t>
  </si>
  <si>
    <t>ZAAB0000010</t>
  </si>
  <si>
    <t>ZAAB0000019</t>
  </si>
  <si>
    <t>ZAAB0000012</t>
  </si>
  <si>
    <t>ZAAC0000005</t>
  </si>
  <si>
    <t>ZAAC0000003</t>
  </si>
  <si>
    <t>ZAAC0000001</t>
  </si>
  <si>
    <t>ZAAC0000006</t>
  </si>
  <si>
    <t>ZAAD0000001</t>
  </si>
  <si>
    <t>ZAAD0000010</t>
  </si>
  <si>
    <t>ZAAD0000009</t>
  </si>
  <si>
    <t>ZAAD0000006</t>
  </si>
  <si>
    <t>ZAAD0000007</t>
  </si>
  <si>
    <t>ZAAD0000002</t>
  </si>
  <si>
    <t>ZAAD0000008</t>
  </si>
  <si>
    <t>ZAAD0000005</t>
  </si>
  <si>
    <t>ZAAD0000003</t>
  </si>
  <si>
    <t>ZAAE0000007</t>
  </si>
  <si>
    <t>ZAAE0000008</t>
  </si>
  <si>
    <t>ZAAE0000002</t>
  </si>
  <si>
    <t>ZAAE0000005</t>
  </si>
  <si>
    <t>ZAAE0000006</t>
  </si>
  <si>
    <t>ZAAE0000001</t>
  </si>
  <si>
    <t>ZAAE0000004</t>
  </si>
  <si>
    <t>ZAAE0000009</t>
  </si>
  <si>
    <t>ZAAE0000010</t>
  </si>
  <si>
    <t>ZAAG0000004</t>
  </si>
  <si>
    <t>ZAAG0000003</t>
  </si>
  <si>
    <t>ZAAG0000008</t>
  </si>
  <si>
    <t>ZAAG0000009</t>
  </si>
  <si>
    <t>ZAAG0000005</t>
  </si>
  <si>
    <t>ZAAG0000006</t>
  </si>
  <si>
    <t>ZAAG0000002</t>
  </si>
  <si>
    <t>ZAAH0000008</t>
  </si>
  <si>
    <t>ZAAG0000007</t>
  </si>
  <si>
    <t>STPE</t>
  </si>
  <si>
    <t>CCS20230802A0001</t>
  </si>
  <si>
    <t>CCS20230802C0001</t>
  </si>
  <si>
    <t>CCS20230802D0001</t>
  </si>
  <si>
    <t>CCS20230802D0002</t>
  </si>
  <si>
    <t>CCS20230802D0003</t>
  </si>
  <si>
    <t>CCS20230802A0002</t>
  </si>
  <si>
    <t>CCS20230802D0004</t>
  </si>
  <si>
    <t>CCS20230802C0002</t>
  </si>
  <si>
    <t>CCS20230802A0003</t>
  </si>
  <si>
    <t>CCS20230802C0003</t>
  </si>
  <si>
    <t>CCS20230802A0004</t>
  </si>
  <si>
    <t>CCS20230802D0005</t>
  </si>
  <si>
    <t>CCS20230802A0005</t>
  </si>
  <si>
    <t>CCS20230802A0006</t>
  </si>
  <si>
    <t>CCS20230802C0004</t>
  </si>
  <si>
    <t>CCS20230802D0006</t>
  </si>
  <si>
    <t>CCS20230802D0007</t>
  </si>
  <si>
    <t>CCS20230802A0007</t>
  </si>
  <si>
    <t>CCS20230802C0005</t>
  </si>
  <si>
    <t>CCS20230802C0006</t>
  </si>
  <si>
    <t>CCS20230802C0007</t>
  </si>
  <si>
    <t>CCS20230802C0008</t>
  </si>
  <si>
    <t>CCS20230802D0008</t>
  </si>
  <si>
    <t>' AND SITE_KEY=(SELECT SKEY FROM CAT_SITE WHERE CODE = '</t>
  </si>
  <si>
    <t>'),'A','SYSTEM',NOW_GMT());</t>
  </si>
  <si>
    <t>Gross Weight</t>
  </si>
  <si>
    <t>I2</t>
  </si>
  <si>
    <t>O2</t>
  </si>
  <si>
    <t>CCS20230802A0008</t>
  </si>
  <si>
    <t>CCS20230802D0009</t>
  </si>
  <si>
    <t>CCS20230802D0010</t>
  </si>
  <si>
    <t>CCS20230802D0011</t>
  </si>
  <si>
    <t>CCS20230802D0012</t>
  </si>
  <si>
    <t>AACV</t>
  </si>
  <si>
    <t>0091</t>
  </si>
  <si>
    <t>QAVC0091</t>
  </si>
  <si>
    <t>ABCV</t>
  </si>
  <si>
    <t>BKG_2023080205</t>
  </si>
  <si>
    <t>AACV1</t>
  </si>
  <si>
    <t>AACV2</t>
  </si>
  <si>
    <t>AACV3</t>
  </si>
  <si>
    <t>AACV4</t>
  </si>
  <si>
    <t>AACV5</t>
  </si>
  <si>
    <t>AACV6</t>
  </si>
  <si>
    <t>AACV7</t>
  </si>
  <si>
    <t>AACV8</t>
  </si>
  <si>
    <t>AACV9</t>
  </si>
  <si>
    <t>AACV10</t>
  </si>
  <si>
    <t>AACV11</t>
  </si>
  <si>
    <t>AACV12</t>
  </si>
  <si>
    <t>AACV13</t>
  </si>
  <si>
    <t>AACV14</t>
  </si>
  <si>
    <t>AACV15</t>
  </si>
  <si>
    <t>AACV16</t>
  </si>
  <si>
    <t>AACV17</t>
  </si>
  <si>
    <t>AACV18</t>
  </si>
  <si>
    <t>AACV19</t>
  </si>
  <si>
    <t>AACV20</t>
  </si>
  <si>
    <t>ABCV0000001</t>
  </si>
  <si>
    <t>ABCV0000002</t>
  </si>
  <si>
    <t>ABCV0000003</t>
  </si>
  <si>
    <t>ABCV0000004</t>
  </si>
  <si>
    <t>ABCV0000005</t>
  </si>
  <si>
    <t>ABCV0000006</t>
  </si>
  <si>
    <t>ABCV0000007</t>
  </si>
  <si>
    <t>ABCV0000008</t>
  </si>
  <si>
    <t>ABCV0000009</t>
  </si>
  <si>
    <t>ABCV0000010</t>
  </si>
  <si>
    <t>202308021157A00001</t>
  </si>
  <si>
    <t>202308021157A00002</t>
  </si>
  <si>
    <t>202308021157A00003</t>
  </si>
  <si>
    <t>202308021157A00004</t>
  </si>
  <si>
    <t>202308021157A00005</t>
  </si>
  <si>
    <t>202308021157A00006</t>
  </si>
  <si>
    <t>202308021157A00007</t>
  </si>
  <si>
    <t>202308021157A00008</t>
  </si>
  <si>
    <t>202308021157A00009</t>
  </si>
  <si>
    <t>202308021157A00010</t>
  </si>
  <si>
    <t>202308021157A00011</t>
  </si>
  <si>
    <t>202308021157A00012</t>
  </si>
  <si>
    <t>202308021157A00013</t>
  </si>
  <si>
    <t>202308021157A00014</t>
  </si>
  <si>
    <t>202308021157A00015</t>
  </si>
  <si>
    <t>202308021157A00016</t>
  </si>
  <si>
    <t>202308021157A00017</t>
  </si>
  <si>
    <t>202308021157A00018</t>
  </si>
  <si>
    <t>202308021157A00019</t>
  </si>
  <si>
    <t>202308021157A00020</t>
  </si>
  <si>
    <t>2023-08-02T11:57:00+08:00</t>
  </si>
  <si>
    <t>2023-08-02T12:57:00+08:00</t>
  </si>
  <si>
    <t>RUN THIS IN TMS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</si>
</sst>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21" x14ac:knownFonts="1">
    <font>
      <sz val="11"/>
      <color theme="1"/>
      <name val="Calibri"/>
      <family val="2"/>
      <scheme val="minor"/>
    </font>
    <font>
      <sz val="12"/>
      <color theme="1"/>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
      <sz val="12"/>
      <color rgb="FFFF0000"/>
      <name val="Calibri"/>
      <family val="2"/>
      <scheme val="minor"/>
    </font>
    <font>
      <sz val="9"/>
      <color rgb="FF3B4151"/>
      <name val="Courier New"/>
      <family val="3"/>
    </font>
    <font>
      <i/>
      <sz val="12"/>
      <color theme="0"/>
      <name val="Calibri"/>
      <family val="2"/>
      <scheme val="minor"/>
    </font>
    <font>
      <b/>
      <sz val="12"/>
      <color rgb="FF00FF00"/>
      <name val="Calibri"/>
      <family val="2"/>
      <scheme val="minor"/>
    </font>
    <font>
      <sz val="9"/>
      <color rgb="FFFF0000"/>
      <name val="Calibri"/>
      <family val="2"/>
      <scheme val="minor"/>
    </font>
    <font>
      <u/>
      <sz val="11"/>
      <color theme="10"/>
      <name val="Calibri"/>
      <family val="2"/>
      <scheme val="minor"/>
    </font>
    <font>
      <sz val="1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
      <patternFill patternType="solid">
        <fgColor theme="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2F2F2"/>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113">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style="thin">
        <color theme="0" tint="-0.14999847407452621"/>
      </top>
      <bottom/>
      <diagonal/>
    </border>
    <border>
      <left style="thin">
        <color theme="0" tint="-0.14999847407452621"/>
      </left>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bottom/>
      <diagonal/>
    </border>
    <border>
      <left style="medium">
        <color indexed="64"/>
      </left>
      <right/>
      <top style="thin">
        <color theme="0" tint="-0.14999847407452621"/>
      </top>
      <bottom style="thin">
        <color theme="0" tint="-0.14999847407452621"/>
      </bottom>
      <diagonal/>
    </border>
    <border>
      <left style="medium">
        <color indexed="64"/>
      </left>
      <right/>
      <top style="thin">
        <color theme="0" tint="-0.14999847407452621"/>
      </top>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style="medium">
        <color indexed="64"/>
      </top>
      <bottom/>
      <diagonal/>
    </border>
    <border>
      <left style="thin">
        <color theme="0" tint="-0.14999847407452621"/>
      </left>
      <right style="medium">
        <color theme="1"/>
      </right>
      <top style="thin">
        <color theme="0" tint="-0.14999847407452621"/>
      </top>
      <bottom style="thin">
        <color theme="0" tint="-0.14999847407452621"/>
      </bottom>
      <diagonal/>
    </border>
    <border>
      <left style="thin">
        <color theme="0" tint="-0.14999847407452621"/>
      </left>
      <right style="medium">
        <color theme="1"/>
      </right>
      <top/>
      <bottom style="thin">
        <color theme="0" tint="-0.14999847407452621"/>
      </bottom>
      <diagonal/>
    </border>
    <border>
      <left style="thin">
        <color theme="0" tint="-0.14999847407452621"/>
      </left>
      <right style="medium">
        <color theme="1"/>
      </right>
      <top/>
      <bottom/>
      <diagonal/>
    </border>
    <border>
      <left/>
      <right style="medium">
        <color theme="1"/>
      </right>
      <top/>
      <bottom style="medium">
        <color theme="1"/>
      </bottom>
      <diagonal/>
    </border>
    <border>
      <left style="thin">
        <color theme="0" tint="-0.14999847407452621"/>
      </left>
      <right/>
      <top style="thin">
        <color theme="0" tint="-0.14999847407452621"/>
      </top>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theme="0" tint="-0.249977111117893"/>
      </right>
      <top style="thin">
        <color theme="0" tint="-0.14999847407452621"/>
      </top>
      <bottom style="thin">
        <color theme="0" tint="-0.14999847407452621"/>
      </bottom>
      <diagonal/>
    </border>
    <border>
      <left style="medium">
        <color indexed="64"/>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medium">
        <color indexed="64"/>
      </left>
      <right style="thin">
        <color theme="0" tint="-0.249977111117893"/>
      </right>
      <top/>
      <bottom style="thin">
        <color theme="0" tint="-0.14999847407452621"/>
      </bottom>
      <diagonal/>
    </border>
    <border>
      <left style="medium">
        <color theme="1"/>
      </left>
      <right style="thin">
        <color theme="0" tint="-0.249977111117893"/>
      </right>
      <top/>
      <bottom style="medium">
        <color theme="1"/>
      </bottom>
      <diagonal/>
    </border>
    <border>
      <left style="medium">
        <color theme="1"/>
      </left>
      <right style="thin">
        <color theme="0" tint="-0.14999847407452621"/>
      </right>
      <top style="thin">
        <color theme="0" tint="-0.14999847407452621"/>
      </top>
      <bottom style="thin">
        <color theme="0" tint="-0.14999847407452621"/>
      </bottom>
      <diagonal/>
    </border>
    <border>
      <left style="medium">
        <color theme="1"/>
      </left>
      <right/>
      <top/>
      <bottom/>
      <diagonal/>
    </border>
    <border>
      <left style="medium">
        <color theme="1"/>
      </left>
      <right style="thin">
        <color theme="0" tint="-0.249977111117893"/>
      </right>
      <top style="medium">
        <color indexed="64"/>
      </top>
      <bottom/>
      <diagonal/>
    </border>
    <border>
      <left style="medium">
        <color indexed="64"/>
      </left>
      <right/>
      <top/>
      <bottom style="medium">
        <color indexed="64"/>
      </bottom>
      <diagonal/>
    </border>
    <border>
      <left style="thin">
        <color theme="0" tint="-0.249977111117893"/>
      </left>
      <right style="thin">
        <color theme="0" tint="-0.249977111117893"/>
      </right>
      <top/>
      <bottom/>
      <diagonal/>
    </border>
    <border>
      <left/>
      <right style="thin">
        <color theme="0" tint="-0.249977111117893"/>
      </right>
      <top/>
      <bottom style="thin">
        <color theme="0" tint="-0.249977111117893"/>
      </bottom>
      <diagonal/>
    </border>
    <border>
      <left style="medium">
        <color indexed="64"/>
      </left>
      <right style="thin">
        <color theme="0" tint="-0.249977111117893"/>
      </right>
      <top style="thin">
        <color theme="0" tint="-0.499984740745262"/>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theme="0" tint="-0.249977111117893"/>
      </left>
      <right style="medium">
        <color indexed="64"/>
      </right>
      <top/>
      <bottom style="thin">
        <color theme="0" tint="-0.249977111117893"/>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style="thin">
        <color theme="0" tint="-0.249977111117893"/>
      </right>
      <top style="thin">
        <color theme="0" tint="-0.249977111117893"/>
      </top>
      <bottom/>
      <diagonal/>
    </border>
    <border>
      <left style="medium">
        <color indexed="64"/>
      </left>
      <right style="thin">
        <color theme="0" tint="-0.249977111117893"/>
      </right>
      <top style="thin">
        <color theme="0" tint="-0.14999847407452621"/>
      </top>
      <bottom/>
      <diagonal/>
    </border>
    <border>
      <left style="thin">
        <color theme="0" tint="-0.249977111117893"/>
      </left>
      <right style="thin">
        <color theme="0" tint="-0.249977111117893"/>
      </right>
      <top style="thin">
        <color theme="0" tint="-0.14999847407452621"/>
      </top>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theme="1"/>
      </left>
      <right style="medium">
        <color theme="1"/>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right style="medium">
        <color theme="1"/>
      </right>
      <top style="medium">
        <color theme="1"/>
      </top>
      <bottom style="medium">
        <color theme="1"/>
      </bottom>
      <diagonal/>
    </border>
    <border>
      <left/>
      <right style="thin">
        <color theme="0" tint="-0.14999847407452621"/>
      </right>
      <top style="medium">
        <color theme="1"/>
      </top>
      <bottom style="medium">
        <color theme="1"/>
      </bottom>
      <diagonal/>
    </border>
    <border>
      <left style="thin">
        <color theme="0" tint="-0.14999847407452621"/>
      </left>
      <right style="thin">
        <color theme="0" tint="-0.14999847407452621"/>
      </right>
      <top style="medium">
        <color theme="1"/>
      </top>
      <bottom style="medium">
        <color theme="1"/>
      </bottom>
      <diagonal/>
    </border>
    <border>
      <left style="thin">
        <color theme="0" tint="-0.14999847407452621"/>
      </left>
      <right style="medium">
        <color theme="1"/>
      </right>
      <top style="medium">
        <color theme="1"/>
      </top>
      <bottom style="medium">
        <color theme="1"/>
      </bottom>
      <diagonal/>
    </border>
    <border>
      <left/>
      <right style="thin">
        <color theme="0" tint="-0.14999847407452621"/>
      </right>
      <top/>
      <bottom style="medium">
        <color theme="1"/>
      </bottom>
      <diagonal/>
    </border>
    <border>
      <left style="thin">
        <color theme="0" tint="-0.14999847407452621"/>
      </left>
      <right style="thin">
        <color theme="0" tint="-0.14999847407452621"/>
      </right>
      <top/>
      <bottom style="medium">
        <color theme="1"/>
      </bottom>
      <diagonal/>
    </border>
    <border>
      <left style="thin">
        <color theme="0" tint="-0.14999847407452621"/>
      </left>
      <right/>
      <top/>
      <bottom style="medium">
        <color theme="1"/>
      </bottom>
      <diagonal/>
    </border>
    <border>
      <left style="medium">
        <color theme="1"/>
      </left>
      <right style="thin">
        <color theme="0" tint="-0.14999847407452621"/>
      </right>
      <top style="medium">
        <color theme="1"/>
      </top>
      <bottom style="medium">
        <color theme="1"/>
      </bottom>
      <diagonal/>
    </border>
    <border>
      <left style="medium">
        <color theme="1"/>
      </left>
      <right style="medium">
        <color theme="1"/>
      </right>
      <top/>
      <bottom style="thin">
        <color theme="0" tint="-0.14999847407452621"/>
      </bottom>
      <diagonal/>
    </border>
    <border>
      <left style="medium">
        <color theme="1"/>
      </left>
      <right style="thin">
        <color theme="0" tint="-0.14999847407452621"/>
      </right>
      <top style="medium">
        <color theme="1"/>
      </top>
      <bottom style="thin">
        <color theme="0" tint="-0.14999847407452621"/>
      </bottom>
      <diagonal/>
    </border>
    <border>
      <left style="thin">
        <color theme="0" tint="-0.14999847407452621"/>
      </left>
      <right style="thin">
        <color theme="0" tint="-0.14999847407452621"/>
      </right>
      <top style="medium">
        <color theme="1"/>
      </top>
      <bottom style="thin">
        <color theme="0" tint="-0.14999847407452621"/>
      </bottom>
      <diagonal/>
    </border>
    <border>
      <left style="thin">
        <color theme="0" tint="-0.14999847407452621"/>
      </left>
      <right/>
      <top style="medium">
        <color theme="1"/>
      </top>
      <bottom style="thin">
        <color theme="0" tint="-0.14999847407452621"/>
      </bottom>
      <diagonal/>
    </border>
    <border>
      <left style="thin">
        <color theme="0" tint="-0.14999847407452621"/>
      </left>
      <right style="medium">
        <color theme="1"/>
      </right>
      <top style="medium">
        <color theme="1"/>
      </top>
      <bottom style="thin">
        <color theme="0" tint="-0.14999847407452621"/>
      </bottom>
      <diagonal/>
    </border>
    <border>
      <left/>
      <right style="thin">
        <color theme="0" tint="-0.14999847407452621"/>
      </right>
      <top/>
      <bottom style="thin">
        <color theme="0" tint="-0.14999847407452621"/>
      </bottom>
      <diagonal/>
    </border>
    <border>
      <left style="medium">
        <color theme="1"/>
      </left>
      <right style="medium">
        <color theme="1"/>
      </right>
      <top style="thin">
        <color theme="0" tint="-0.14999847407452621"/>
      </top>
      <bottom style="medium">
        <color theme="1"/>
      </bottom>
      <diagonal/>
    </border>
    <border>
      <left style="medium">
        <color theme="1"/>
      </left>
      <right style="thin">
        <color theme="0" tint="-0.14999847407452621"/>
      </right>
      <top style="thin">
        <color theme="0" tint="-0.14999847407452621"/>
      </top>
      <bottom style="medium">
        <color theme="1"/>
      </bottom>
      <diagonal/>
    </border>
    <border>
      <left style="thin">
        <color theme="0" tint="-0.14999847407452621"/>
      </left>
      <right style="thin">
        <color theme="0" tint="-0.14999847407452621"/>
      </right>
      <top style="thin">
        <color theme="0" tint="-0.14999847407452621"/>
      </top>
      <bottom style="medium">
        <color theme="1"/>
      </bottom>
      <diagonal/>
    </border>
    <border>
      <left style="thin">
        <color theme="0" tint="-0.14999847407452621"/>
      </left>
      <right/>
      <top style="thin">
        <color theme="0" tint="-0.14999847407452621"/>
      </top>
      <bottom style="medium">
        <color theme="1"/>
      </bottom>
      <diagonal/>
    </border>
    <border>
      <left style="thin">
        <color theme="0" tint="-0.14999847407452621"/>
      </left>
      <right style="medium">
        <color theme="1"/>
      </right>
      <top style="thin">
        <color theme="0" tint="-0.14999847407452621"/>
      </top>
      <bottom style="medium">
        <color theme="1"/>
      </bottom>
      <diagonal/>
    </border>
    <border>
      <left/>
      <right style="thin">
        <color theme="0" tint="-0.14999847407452621"/>
      </right>
      <top style="thin">
        <color theme="0" tint="-0.14999847407452621"/>
      </top>
      <bottom style="medium">
        <color theme="1"/>
      </bottom>
      <diagonal/>
    </border>
    <border>
      <left style="medium">
        <color theme="1"/>
      </left>
      <right/>
      <top style="medium">
        <color theme="1"/>
      </top>
      <bottom style="thin">
        <color theme="0" tint="-0.14999847407452621"/>
      </bottom>
      <diagonal/>
    </border>
    <border>
      <left style="medium">
        <color theme="1"/>
      </left>
      <right/>
      <top style="thin">
        <color theme="0" tint="-0.14999847407452621"/>
      </top>
      <bottom style="medium">
        <color theme="1"/>
      </bottom>
      <diagonal/>
    </border>
    <border>
      <left/>
      <right style="thin">
        <color theme="0" tint="-0.14999847407452621"/>
      </right>
      <top style="medium">
        <color theme="1"/>
      </top>
      <bottom style="thin">
        <color theme="0" tint="-0.14999847407452621"/>
      </bottom>
      <diagonal/>
    </border>
    <border>
      <left/>
      <right/>
      <top style="medium">
        <color theme="1"/>
      </top>
      <bottom/>
      <diagonal/>
    </border>
    <border>
      <left/>
      <right style="medium">
        <color indexed="64"/>
      </right>
      <top style="medium">
        <color theme="1"/>
      </top>
      <bottom/>
      <diagonal/>
    </border>
    <border>
      <left style="medium">
        <color indexed="64"/>
      </left>
      <right style="thin">
        <color theme="0" tint="-0.14999847407452621"/>
      </right>
      <top style="medium">
        <color indexed="64"/>
      </top>
      <bottom style="medium">
        <color theme="1"/>
      </bottom>
      <diagonal/>
    </border>
    <border>
      <left style="thin">
        <color theme="0" tint="-0.14999847407452621"/>
      </left>
      <right style="thin">
        <color theme="0" tint="-0.14999847407452621"/>
      </right>
      <top style="medium">
        <color indexed="64"/>
      </top>
      <bottom style="medium">
        <color theme="1"/>
      </bottom>
      <diagonal/>
    </border>
    <border>
      <left style="thin">
        <color theme="0" tint="-0.14999847407452621"/>
      </left>
      <right style="medium">
        <color indexed="64"/>
      </right>
      <top style="medium">
        <color indexed="64"/>
      </top>
      <bottom style="medium">
        <color theme="1"/>
      </bottom>
      <diagonal/>
    </border>
    <border>
      <left style="medium">
        <color indexed="64"/>
      </left>
      <right style="thin">
        <color theme="0" tint="-0.14999847407452621"/>
      </right>
      <top style="medium">
        <color theme="1"/>
      </top>
      <bottom style="thin">
        <color theme="0" tint="-0.14999847407452621"/>
      </bottom>
      <diagonal/>
    </border>
    <border>
      <left style="thin">
        <color theme="0" tint="-0.14999847407452621"/>
      </left>
      <right style="medium">
        <color indexed="64"/>
      </right>
      <top style="medium">
        <color theme="1"/>
      </top>
      <bottom style="thin">
        <color theme="0" tint="-0.149998474074526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n">
        <color theme="0" tint="-0.249977111117893"/>
      </left>
      <right style="medium">
        <color indexed="64"/>
      </right>
      <top/>
      <bottom style="medium">
        <color indexed="64"/>
      </bottom>
      <diagonal/>
    </border>
    <border>
      <left style="medium">
        <color indexed="64"/>
      </left>
      <right style="thin">
        <color theme="0" tint="-0.249977111117893"/>
      </right>
      <top style="medium">
        <color indexed="64"/>
      </top>
      <bottom style="thin">
        <color theme="0" tint="-0.499984740745262"/>
      </bottom>
      <diagonal/>
    </border>
    <border>
      <left style="thin">
        <color theme="0" tint="-0.249977111117893"/>
      </left>
      <right/>
      <top/>
      <bottom style="thin">
        <color theme="0" tint="-0.249977111117893"/>
      </bottom>
      <diagonal/>
    </border>
    <border>
      <left style="thin">
        <color theme="0" tint="-0.249977111117893"/>
      </left>
      <right/>
      <top style="medium">
        <color indexed="64"/>
      </top>
      <bottom style="medium">
        <color indexed="64"/>
      </bottom>
      <diagonal/>
    </border>
    <border>
      <left style="medium">
        <color indexed="64"/>
      </left>
      <right style="medium">
        <color indexed="64"/>
      </right>
      <top style="medium">
        <color indexed="64"/>
      </top>
      <bottom style="thin">
        <color theme="0" tint="-0.249977111117893"/>
      </bottom>
      <diagonal/>
    </border>
    <border>
      <left style="medium">
        <color indexed="64"/>
      </left>
      <right style="medium">
        <color indexed="64"/>
      </right>
      <top/>
      <bottom style="thin">
        <color theme="0" tint="-0.249977111117893"/>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thin">
        <color theme="0" tint="-0.249977111117893"/>
      </top>
      <bottom/>
      <diagonal/>
    </border>
  </borders>
  <cellStyleXfs count="4">
    <xf numFmtId="0" fontId="0" fillId="0" borderId="0"/>
    <xf numFmtId="0" fontId="1" fillId="0" borderId="0"/>
    <xf numFmtId="0" fontId="5" fillId="0" borderId="0"/>
    <xf numFmtId="0" fontId="19" fillId="0" borderId="0" applyNumberFormat="0" applyFill="0" applyBorder="0" applyAlignment="0" applyProtection="0"/>
  </cellStyleXfs>
  <cellXfs count="258">
    <xf numFmtId="0" fontId="0" fillId="0" borderId="0" xfId="0"/>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1" fillId="0" borderId="0" xfId="1" applyFont="1" applyFill="1" applyBorder="1" applyAlignment="1" applyProtection="1">
      <alignment vertical="center" wrapText="1"/>
    </xf>
    <xf numFmtId="0" fontId="2" fillId="5" borderId="1" xfId="0" applyFont="1" applyFill="1" applyBorder="1" applyAlignment="1">
      <alignment wrapText="1"/>
    </xf>
    <xf numFmtId="0" fontId="6" fillId="5" borderId="1" xfId="0" applyFont="1" applyFill="1" applyBorder="1" applyAlignment="1">
      <alignment wrapText="1"/>
    </xf>
    <xf numFmtId="49" fontId="6" fillId="5" borderId="1" xfId="0" applyNumberFormat="1" applyFont="1" applyFill="1" applyBorder="1" applyAlignment="1">
      <alignment wrapText="1"/>
    </xf>
    <xf numFmtId="0" fontId="7" fillId="0" borderId="0" xfId="0" applyFont="1" applyAlignment="1">
      <alignment wrapText="1"/>
    </xf>
    <xf numFmtId="0" fontId="2"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2" fillId="5" borderId="1" xfId="0" applyNumberFormat="1" applyFont="1" applyFill="1" applyBorder="1" applyAlignment="1">
      <alignment wrapText="1"/>
    </xf>
    <xf numFmtId="49" fontId="2"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5" borderId="1" xfId="0" applyFont="1" applyFill="1" applyBorder="1" applyAlignment="1">
      <alignment wrapText="1"/>
    </xf>
    <xf numFmtId="0" fontId="8" fillId="0" borderId="0" xfId="0" applyFont="1" applyAlignment="1">
      <alignment wrapText="1"/>
    </xf>
    <xf numFmtId="49" fontId="0" fillId="0" borderId="0" xfId="0" quotePrefix="1" applyNumberFormat="1" applyFont="1" applyAlignment="1">
      <alignment wrapText="1"/>
    </xf>
    <xf numFmtId="0" fontId="4" fillId="5" borderId="1" xfId="0" applyFont="1" applyFill="1" applyBorder="1" applyAlignment="1">
      <alignment wrapText="1"/>
    </xf>
    <xf numFmtId="0" fontId="9" fillId="5" borderId="1" xfId="2" applyFont="1" applyFill="1" applyBorder="1" applyAlignment="1">
      <alignment horizontal="center" wrapText="1"/>
    </xf>
    <xf numFmtId="0" fontId="9" fillId="5" borderId="1" xfId="2" applyFont="1" applyFill="1" applyBorder="1" applyAlignment="1">
      <alignment wrapText="1"/>
    </xf>
    <xf numFmtId="0" fontId="0" fillId="0" borderId="0" xfId="0" applyAlignment="1">
      <alignment horizontal="left" wrapText="1"/>
    </xf>
    <xf numFmtId="0" fontId="1" fillId="4" borderId="5" xfId="1" applyFont="1" applyFill="1" applyBorder="1" applyAlignment="1" applyProtection="1">
      <alignment horizontal="left" vertical="center"/>
      <protection locked="0"/>
    </xf>
    <xf numFmtId="0" fontId="1" fillId="3" borderId="5" xfId="1" applyFont="1" applyFill="1" applyBorder="1" applyAlignment="1" applyProtection="1">
      <alignment horizontal="left" vertical="center"/>
      <protection locked="0"/>
    </xf>
    <xf numFmtId="0" fontId="1" fillId="4" borderId="7" xfId="1" applyFont="1" applyFill="1" applyBorder="1" applyAlignment="1" applyProtection="1">
      <alignment horizontal="left" vertical="center"/>
      <protection locked="0"/>
    </xf>
    <xf numFmtId="0" fontId="1" fillId="0" borderId="7" xfId="1" applyFont="1" applyFill="1" applyBorder="1" applyAlignment="1" applyProtection="1">
      <alignment horizontal="left" vertical="center"/>
      <protection locked="0"/>
    </xf>
    <xf numFmtId="0" fontId="1" fillId="0" borderId="0" xfId="1" applyFont="1" applyBorder="1" applyProtection="1">
      <protection locked="0"/>
    </xf>
    <xf numFmtId="0" fontId="1" fillId="0" borderId="0" xfId="1" applyFont="1" applyBorder="1" applyAlignment="1" applyProtection="1">
      <protection locked="0"/>
    </xf>
    <xf numFmtId="0" fontId="1" fillId="0" borderId="0" xfId="0" applyFont="1" applyFill="1" applyBorder="1"/>
    <xf numFmtId="0" fontId="1" fillId="0" borderId="1" xfId="1" applyFont="1" applyFill="1" applyBorder="1" applyAlignment="1" applyProtection="1">
      <protection locked="0"/>
    </xf>
    <xf numFmtId="0" fontId="1" fillId="0" borderId="5" xfId="0" applyFont="1" applyBorder="1" applyAlignment="1">
      <alignment wrapText="1"/>
    </xf>
    <xf numFmtId="0" fontId="1" fillId="0" borderId="7" xfId="0" applyFont="1" applyBorder="1" applyAlignment="1">
      <alignment wrapText="1"/>
    </xf>
    <xf numFmtId="0" fontId="1" fillId="0" borderId="1" xfId="1" applyFont="1" applyFill="1" applyBorder="1" applyAlignment="1" applyProtection="1">
      <alignment wrapText="1"/>
      <protection locked="0"/>
    </xf>
    <xf numFmtId="0" fontId="1" fillId="0" borderId="2" xfId="0" applyFont="1" applyFill="1" applyBorder="1"/>
    <xf numFmtId="0" fontId="1" fillId="0" borderId="0" xfId="0" applyFont="1" applyBorder="1"/>
    <xf numFmtId="0" fontId="1" fillId="0" borderId="3" xfId="0" applyFont="1" applyFill="1" applyBorder="1"/>
    <xf numFmtId="0" fontId="1" fillId="0" borderId="4" xfId="0" applyFont="1" applyFill="1" applyBorder="1"/>
    <xf numFmtId="0" fontId="1" fillId="0" borderId="5" xfId="0" applyFont="1" applyFill="1" applyBorder="1" applyAlignment="1">
      <alignment horizontal="center" vertical="center"/>
    </xf>
    <xf numFmtId="0" fontId="10" fillId="0" borderId="5" xfId="2" applyFont="1" applyBorder="1" applyAlignment="1">
      <alignment wrapText="1"/>
    </xf>
    <xf numFmtId="0" fontId="10" fillId="0" borderId="7" xfId="2" applyFont="1" applyBorder="1" applyAlignment="1">
      <alignment wrapText="1"/>
    </xf>
    <xf numFmtId="0" fontId="10" fillId="0" borderId="7" xfId="1" applyFont="1" applyBorder="1" applyAlignment="1" applyProtection="1">
      <alignment wrapText="1"/>
      <protection locked="0"/>
    </xf>
    <xf numFmtId="0" fontId="12"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3" fillId="0" borderId="2" xfId="0" applyFont="1" applyFill="1" applyBorder="1" applyAlignment="1">
      <alignment wrapText="1"/>
    </xf>
    <xf numFmtId="0" fontId="1" fillId="4" borderId="12" xfId="1" applyFont="1" applyFill="1" applyBorder="1" applyAlignment="1" applyProtection="1">
      <alignment horizontal="left" vertical="center"/>
      <protection locked="0"/>
    </xf>
    <xf numFmtId="0" fontId="1" fillId="0" borderId="14" xfId="1" applyFont="1" applyFill="1" applyBorder="1" applyAlignment="1" applyProtection="1">
      <alignment horizontal="left" vertical="center"/>
      <protection locked="0"/>
    </xf>
    <xf numFmtId="0" fontId="1" fillId="0" borderId="5" xfId="0" applyFont="1" applyFill="1" applyBorder="1" applyAlignment="1">
      <alignment horizontal="center"/>
    </xf>
    <xf numFmtId="0" fontId="1" fillId="0" borderId="7"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8" xfId="0" applyFont="1" applyFill="1" applyBorder="1" applyAlignment="1">
      <alignment horizontal="center" vertical="center"/>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14" fillId="0" borderId="0" xfId="1" applyFont="1" applyBorder="1" applyAlignment="1" applyProtection="1">
      <protection locked="0"/>
    </xf>
    <xf numFmtId="0" fontId="1" fillId="2" borderId="13" xfId="0" applyFont="1" applyFill="1" applyBorder="1"/>
    <xf numFmtId="0" fontId="1" fillId="0" borderId="0" xfId="0" applyFont="1" applyFill="1" applyBorder="1" applyAlignment="1">
      <alignment horizontal="left"/>
    </xf>
    <xf numFmtId="0" fontId="1" fillId="0" borderId="13" xfId="0" applyFont="1" applyBorder="1"/>
    <xf numFmtId="0" fontId="10" fillId="2" borderId="5" xfId="0" applyFont="1" applyFill="1" applyBorder="1" applyAlignment="1">
      <alignment wrapText="1"/>
    </xf>
    <xf numFmtId="0" fontId="1" fillId="0" borderId="2" xfId="0" applyFont="1" applyBorder="1"/>
    <xf numFmtId="0" fontId="1" fillId="0" borderId="17" xfId="0" applyFont="1" applyBorder="1"/>
    <xf numFmtId="0" fontId="1" fillId="2" borderId="28" xfId="1" applyFont="1" applyFill="1" applyBorder="1" applyProtection="1">
      <protection locked="0"/>
    </xf>
    <xf numFmtId="0" fontId="1" fillId="2" borderId="29" xfId="1" applyFont="1" applyFill="1" applyBorder="1" applyProtection="1">
      <protection locked="0"/>
    </xf>
    <xf numFmtId="0" fontId="1" fillId="2" borderId="30" xfId="1" applyFont="1" applyFill="1" applyBorder="1" applyProtection="1">
      <protection locked="0"/>
    </xf>
    <xf numFmtId="0" fontId="0" fillId="0" borderId="0" xfId="0" applyFill="1"/>
    <xf numFmtId="0" fontId="1" fillId="4" borderId="27" xfId="1" applyFont="1" applyFill="1" applyBorder="1" applyProtection="1">
      <protection locked="0"/>
    </xf>
    <xf numFmtId="0" fontId="1" fillId="4" borderId="31" xfId="1" applyFont="1" applyFill="1" applyBorder="1" applyAlignment="1" applyProtection="1">
      <alignment horizontal="left"/>
      <protection locked="0"/>
    </xf>
    <xf numFmtId="0" fontId="1" fillId="11" borderId="13" xfId="0" applyFont="1" applyFill="1" applyBorder="1"/>
    <xf numFmtId="0" fontId="1" fillId="9" borderId="34" xfId="1" applyFont="1" applyFill="1" applyBorder="1" applyAlignment="1" applyProtection="1">
      <alignment horizontal="left" vertical="center"/>
      <protection locked="0"/>
    </xf>
    <xf numFmtId="0" fontId="1" fillId="9" borderId="34" xfId="0" applyFont="1" applyFill="1" applyBorder="1" applyAlignment="1">
      <alignment vertical="center" wrapText="1"/>
    </xf>
    <xf numFmtId="49" fontId="1" fillId="9" borderId="10" xfId="0" applyNumberFormat="1" applyFont="1" applyFill="1" applyBorder="1" applyAlignment="1">
      <alignment horizontal="left" vertical="center" wrapText="1"/>
    </xf>
    <xf numFmtId="49" fontId="1" fillId="9" borderId="34" xfId="0" applyNumberFormat="1" applyFont="1" applyFill="1" applyBorder="1" applyAlignment="1">
      <alignment horizontal="left" vertical="center" wrapText="1"/>
    </xf>
    <xf numFmtId="0" fontId="10" fillId="7" borderId="14" xfId="2" applyFont="1" applyFill="1" applyBorder="1" applyAlignment="1">
      <alignment wrapText="1"/>
    </xf>
    <xf numFmtId="0" fontId="10" fillId="0" borderId="36" xfId="2" applyFont="1" applyBorder="1" applyAlignment="1">
      <alignment wrapText="1"/>
    </xf>
    <xf numFmtId="0" fontId="1" fillId="9" borderId="37" xfId="0" applyFont="1" applyFill="1" applyBorder="1" applyAlignment="1">
      <alignment wrapText="1"/>
    </xf>
    <xf numFmtId="0" fontId="1" fillId="9" borderId="34" xfId="0" applyFont="1" applyFill="1" applyBorder="1" applyAlignment="1">
      <alignment wrapText="1"/>
    </xf>
    <xf numFmtId="0" fontId="1" fillId="9" borderId="35" xfId="0" applyFont="1" applyFill="1" applyBorder="1" applyAlignment="1">
      <alignment wrapText="1"/>
    </xf>
    <xf numFmtId="0" fontId="1" fillId="9" borderId="38" xfId="0" applyFont="1" applyFill="1" applyBorder="1"/>
    <xf numFmtId="0" fontId="1" fillId="9" borderId="39" xfId="0" applyFont="1" applyFill="1" applyBorder="1"/>
    <xf numFmtId="0" fontId="1" fillId="9" borderId="40" xfId="0" applyFont="1" applyFill="1" applyBorder="1"/>
    <xf numFmtId="49" fontId="1" fillId="9" borderId="41" xfId="0" applyNumberFormat="1" applyFont="1" applyFill="1" applyBorder="1"/>
    <xf numFmtId="49" fontId="1" fillId="9" borderId="39" xfId="0" applyNumberFormat="1" applyFont="1" applyFill="1" applyBorder="1"/>
    <xf numFmtId="0" fontId="1" fillId="0" borderId="21" xfId="0" applyFont="1" applyFill="1" applyBorder="1"/>
    <xf numFmtId="0" fontId="1" fillId="0" borderId="20" xfId="0" applyFont="1" applyFill="1" applyBorder="1"/>
    <xf numFmtId="0" fontId="1" fillId="9" borderId="19" xfId="0" applyFont="1" applyFill="1" applyBorder="1"/>
    <xf numFmtId="0" fontId="1" fillId="9" borderId="16" xfId="0" applyFont="1" applyFill="1" applyBorder="1"/>
    <xf numFmtId="0" fontId="1" fillId="9" borderId="22" xfId="0" applyFont="1" applyFill="1" applyBorder="1"/>
    <xf numFmtId="0" fontId="1" fillId="2" borderId="21" xfId="0" applyFont="1" applyFill="1" applyBorder="1"/>
    <xf numFmtId="0" fontId="1" fillId="9" borderId="23" xfId="0" applyFont="1" applyFill="1" applyBorder="1"/>
    <xf numFmtId="0" fontId="1" fillId="9" borderId="22" xfId="0" applyFont="1" applyFill="1" applyBorder="1" applyAlignment="1">
      <alignment wrapText="1"/>
    </xf>
    <xf numFmtId="0" fontId="1" fillId="9" borderId="24" xfId="0" applyFont="1" applyFill="1" applyBorder="1"/>
    <xf numFmtId="22" fontId="1" fillId="2" borderId="0" xfId="0" applyNumberFormat="1" applyFont="1" applyFill="1" applyBorder="1"/>
    <xf numFmtId="0" fontId="1" fillId="0" borderId="32" xfId="0" applyFont="1" applyFill="1" applyBorder="1"/>
    <xf numFmtId="0" fontId="15" fillId="0" borderId="42" xfId="0" applyFont="1" applyFill="1" applyBorder="1"/>
    <xf numFmtId="49" fontId="1" fillId="0" borderId="0" xfId="0" applyNumberFormat="1" applyFont="1" applyFill="1" applyBorder="1" applyAlignment="1">
      <alignment horizontal="left" vertical="center" wrapText="1"/>
    </xf>
    <xf numFmtId="0" fontId="1" fillId="0" borderId="40" xfId="1" applyFont="1" applyBorder="1" applyAlignment="1" applyProtection="1">
      <protection locked="0"/>
    </xf>
    <xf numFmtId="49" fontId="1" fillId="4" borderId="20" xfId="0" applyNumberFormat="1" applyFont="1" applyFill="1" applyBorder="1" applyAlignment="1">
      <alignment horizontal="left"/>
    </xf>
    <xf numFmtId="49" fontId="1" fillId="2" borderId="20" xfId="0" applyNumberFormat="1" applyFont="1" applyFill="1" applyBorder="1" applyAlignment="1">
      <alignment horizontal="left"/>
    </xf>
    <xf numFmtId="0" fontId="1" fillId="0" borderId="5" xfId="0" applyFont="1" applyFill="1" applyBorder="1" applyAlignment="1">
      <alignment horizontal="center" wrapText="1"/>
    </xf>
    <xf numFmtId="0" fontId="10" fillId="0" borderId="9" xfId="2" applyFont="1" applyFill="1" applyBorder="1" applyAlignment="1">
      <alignment horizontal="center" wrapText="1"/>
    </xf>
    <xf numFmtId="0" fontId="1" fillId="9" borderId="45" xfId="1" applyFont="1" applyFill="1" applyBorder="1" applyProtection="1">
      <protection locked="0"/>
    </xf>
    <xf numFmtId="0" fontId="1" fillId="0" borderId="15" xfId="0" applyFont="1" applyBorder="1"/>
    <xf numFmtId="0" fontId="1" fillId="0" borderId="18" xfId="0" applyFont="1" applyBorder="1"/>
    <xf numFmtId="0" fontId="1" fillId="6" borderId="47" xfId="0" applyFont="1" applyFill="1" applyBorder="1"/>
    <xf numFmtId="0" fontId="11" fillId="6" borderId="48" xfId="1" applyFont="1" applyFill="1" applyBorder="1" applyAlignment="1" applyProtection="1">
      <alignment vertical="center"/>
      <protection locked="0"/>
    </xf>
    <xf numFmtId="0" fontId="1" fillId="9" borderId="49" xfId="0" applyFont="1" applyFill="1" applyBorder="1"/>
    <xf numFmtId="0" fontId="1" fillId="9" borderId="50" xfId="0" applyFont="1" applyFill="1" applyBorder="1"/>
    <xf numFmtId="0" fontId="1" fillId="9" borderId="51" xfId="0" applyFont="1" applyFill="1" applyBorder="1"/>
    <xf numFmtId="0" fontId="1" fillId="2" borderId="52" xfId="0" applyFont="1" applyFill="1" applyBorder="1"/>
    <xf numFmtId="0" fontId="1" fillId="9" borderId="53" xfId="0" applyFont="1" applyFill="1" applyBorder="1"/>
    <xf numFmtId="0" fontId="1" fillId="0" borderId="55" xfId="0" applyFont="1" applyBorder="1"/>
    <xf numFmtId="0" fontId="1" fillId="9" borderId="56" xfId="0" applyFont="1" applyFill="1" applyBorder="1"/>
    <xf numFmtId="0" fontId="1" fillId="11" borderId="57" xfId="0" applyFont="1" applyFill="1" applyBorder="1"/>
    <xf numFmtId="0" fontId="1" fillId="0" borderId="58" xfId="0" applyFont="1" applyBorder="1"/>
    <xf numFmtId="0" fontId="11" fillId="0" borderId="0" xfId="0" applyFont="1" applyFill="1" applyBorder="1" applyAlignment="1"/>
    <xf numFmtId="0" fontId="11" fillId="0" borderId="2" xfId="0" applyFont="1" applyFill="1" applyBorder="1" applyAlignment="1"/>
    <xf numFmtId="49" fontId="1" fillId="9" borderId="37" xfId="0" applyNumberFormat="1" applyFont="1" applyFill="1" applyBorder="1" applyAlignment="1">
      <alignment wrapText="1"/>
    </xf>
    <xf numFmtId="0" fontId="1" fillId="4" borderId="33" xfId="0" applyFont="1" applyFill="1" applyBorder="1" applyAlignment="1">
      <alignment wrapText="1"/>
    </xf>
    <xf numFmtId="0" fontId="10" fillId="0" borderId="33" xfId="2" applyFont="1" applyBorder="1" applyAlignment="1">
      <alignment wrapText="1"/>
    </xf>
    <xf numFmtId="0" fontId="10" fillId="0" borderId="59" xfId="2" applyFont="1" applyBorder="1" applyAlignment="1">
      <alignment wrapText="1"/>
    </xf>
    <xf numFmtId="0" fontId="10" fillId="2" borderId="12" xfId="0" applyFont="1" applyFill="1" applyBorder="1" applyAlignment="1">
      <alignment wrapText="1"/>
    </xf>
    <xf numFmtId="0" fontId="10" fillId="9" borderId="43" xfId="2" applyFont="1" applyFill="1" applyBorder="1" applyAlignment="1">
      <alignment wrapText="1"/>
    </xf>
    <xf numFmtId="0" fontId="1" fillId="2" borderId="6" xfId="1" applyFont="1" applyFill="1" applyBorder="1" applyAlignment="1" applyProtection="1">
      <alignment horizontal="center"/>
      <protection locked="0"/>
    </xf>
    <xf numFmtId="0" fontId="1" fillId="2" borderId="6" xfId="0" applyFont="1" applyFill="1" applyBorder="1" applyAlignment="1">
      <alignment horizontal="center"/>
    </xf>
    <xf numFmtId="0" fontId="1" fillId="2" borderId="11" xfId="1" applyFont="1" applyFill="1" applyBorder="1" applyAlignment="1" applyProtection="1">
      <alignment horizontal="center"/>
      <protection locked="0"/>
    </xf>
    <xf numFmtId="0" fontId="1" fillId="4" borderId="33" xfId="0" applyFont="1" applyFill="1" applyBorder="1" applyAlignment="1">
      <alignment horizontal="center" wrapText="1"/>
    </xf>
    <xf numFmtId="0" fontId="10" fillId="4" borderId="44" xfId="2" applyFont="1" applyFill="1" applyBorder="1" applyAlignment="1">
      <alignment horizontal="center" wrapText="1"/>
    </xf>
    <xf numFmtId="0" fontId="1" fillId="9" borderId="60" xfId="0" applyFont="1" applyFill="1" applyBorder="1" applyAlignment="1">
      <alignment horizontal="center" wrapText="1"/>
    </xf>
    <xf numFmtId="0" fontId="1" fillId="9" borderId="61" xfId="0" applyFont="1" applyFill="1" applyBorder="1" applyAlignment="1">
      <alignment horizontal="center" wrapText="1"/>
    </xf>
    <xf numFmtId="0" fontId="1" fillId="9" borderId="62" xfId="0" applyFont="1" applyFill="1" applyBorder="1" applyAlignment="1">
      <alignment horizontal="center" wrapText="1"/>
    </xf>
    <xf numFmtId="0" fontId="1" fillId="2" borderId="10" xfId="0" applyFont="1" applyFill="1" applyBorder="1" applyAlignment="1">
      <alignment horizontal="center"/>
    </xf>
    <xf numFmtId="0" fontId="1" fillId="0" borderId="12" xfId="0" applyFont="1" applyFill="1" applyBorder="1" applyAlignment="1">
      <alignment horizontal="center" wrapText="1"/>
    </xf>
    <xf numFmtId="0" fontId="10" fillId="0" borderId="63" xfId="2" applyFont="1" applyFill="1" applyBorder="1" applyAlignment="1">
      <alignment horizontal="center" wrapText="1"/>
    </xf>
    <xf numFmtId="0" fontId="1" fillId="12" borderId="60" xfId="0" applyFont="1" applyFill="1" applyBorder="1" applyAlignment="1">
      <alignment wrapText="1"/>
    </xf>
    <xf numFmtId="0" fontId="1" fillId="12" borderId="61" xfId="0" applyFont="1" applyFill="1" applyBorder="1" applyAlignment="1">
      <alignment horizontal="center" wrapText="1"/>
    </xf>
    <xf numFmtId="0" fontId="1" fillId="9" borderId="64" xfId="1" applyFont="1" applyFill="1" applyBorder="1" applyAlignment="1" applyProtection="1">
      <alignment horizontal="left" vertical="center"/>
      <protection locked="0"/>
    </xf>
    <xf numFmtId="0" fontId="16" fillId="8" borderId="49" xfId="1" applyFont="1" applyFill="1" applyBorder="1" applyAlignment="1" applyProtection="1">
      <alignment horizontal="left" vertical="top"/>
      <protection locked="0"/>
    </xf>
    <xf numFmtId="0" fontId="16" fillId="8" borderId="50" xfId="1" applyFont="1" applyFill="1" applyBorder="1" applyAlignment="1" applyProtection="1">
      <alignment horizontal="left" vertical="top"/>
      <protection locked="0"/>
    </xf>
    <xf numFmtId="0" fontId="3" fillId="8" borderId="51" xfId="1" applyFont="1" applyFill="1" applyBorder="1" applyAlignment="1" applyProtection="1">
      <alignment horizontal="left" vertical="top"/>
      <protection locked="0"/>
    </xf>
    <xf numFmtId="0" fontId="13" fillId="0" borderId="14" xfId="0" applyFont="1" applyFill="1" applyBorder="1" applyAlignment="1">
      <alignment wrapText="1"/>
    </xf>
    <xf numFmtId="0" fontId="10" fillId="9" borderId="60" xfId="0" applyFont="1" applyFill="1" applyBorder="1" applyAlignment="1">
      <alignment horizontal="center"/>
    </xf>
    <xf numFmtId="0" fontId="10" fillId="9" borderId="62" xfId="0" applyFont="1" applyFill="1" applyBorder="1" applyAlignment="1">
      <alignment horizontal="center"/>
    </xf>
    <xf numFmtId="0" fontId="11" fillId="6" borderId="46" xfId="1" applyFont="1" applyFill="1" applyBorder="1" applyAlignment="1" applyProtection="1">
      <alignment vertical="center"/>
      <protection locked="0"/>
    </xf>
    <xf numFmtId="0" fontId="18" fillId="0" borderId="0" xfId="0" applyFont="1" applyBorder="1" applyAlignment="1">
      <alignment wrapText="1"/>
    </xf>
    <xf numFmtId="0" fontId="10" fillId="0" borderId="61" xfId="0" applyFont="1" applyFill="1" applyBorder="1" applyAlignment="1">
      <alignment horizontal="center"/>
    </xf>
    <xf numFmtId="0" fontId="0" fillId="0" borderId="0" xfId="0" applyAlignment="1">
      <alignment wrapText="1"/>
    </xf>
    <xf numFmtId="0" fontId="1" fillId="9" borderId="66" xfId="0" applyFont="1" applyFill="1" applyBorder="1" applyAlignment="1">
      <alignment vertical="center" wrapText="1"/>
    </xf>
    <xf numFmtId="49" fontId="1" fillId="9" borderId="67" xfId="0" applyNumberFormat="1" applyFont="1" applyFill="1" applyBorder="1" applyAlignment="1">
      <alignment horizontal="center" vertical="center" wrapText="1"/>
    </xf>
    <xf numFmtId="0" fontId="1" fillId="9" borderId="68" xfId="0" applyNumberFormat="1" applyFont="1" applyFill="1" applyBorder="1" applyAlignment="1">
      <alignment horizontal="center" vertical="center" wrapText="1"/>
    </xf>
    <xf numFmtId="0" fontId="1" fillId="0" borderId="42" xfId="0" applyFont="1" applyFill="1" applyBorder="1"/>
    <xf numFmtId="49" fontId="0" fillId="3" borderId="1" xfId="0" applyNumberFormat="1" applyFill="1" applyBorder="1" applyAlignment="1">
      <alignment wrapText="1"/>
    </xf>
    <xf numFmtId="0" fontId="0" fillId="3" borderId="1" xfId="0" applyFill="1" applyBorder="1" applyAlignment="1">
      <alignment wrapText="1"/>
    </xf>
    <xf numFmtId="164" fontId="1" fillId="10" borderId="65" xfId="1" applyNumberFormat="1" applyFont="1" applyFill="1" applyBorder="1" applyAlignment="1" applyProtection="1">
      <alignment horizontal="left"/>
      <protection locked="0"/>
    </xf>
    <xf numFmtId="0" fontId="1" fillId="4" borderId="54" xfId="0" applyFont="1" applyFill="1" applyBorder="1"/>
    <xf numFmtId="0" fontId="11" fillId="13" borderId="69" xfId="0" applyFont="1" applyFill="1" applyBorder="1" applyAlignment="1">
      <alignment wrapText="1"/>
    </xf>
    <xf numFmtId="0" fontId="1" fillId="9" borderId="69" xfId="0" applyFont="1" applyFill="1" applyBorder="1" applyAlignment="1">
      <alignment horizontal="left" wrapText="1"/>
    </xf>
    <xf numFmtId="0" fontId="1" fillId="9" borderId="74" xfId="0" applyFont="1" applyFill="1" applyBorder="1" applyAlignment="1">
      <alignment horizontal="left" wrapText="1"/>
    </xf>
    <xf numFmtId="0" fontId="1" fillId="9" borderId="75" xfId="0" applyFont="1" applyFill="1" applyBorder="1" applyAlignment="1">
      <alignment horizontal="left" wrapText="1"/>
    </xf>
    <xf numFmtId="0" fontId="1" fillId="9" borderId="76" xfId="0" applyFont="1" applyFill="1" applyBorder="1" applyAlignment="1">
      <alignment horizontal="left" wrapText="1"/>
    </xf>
    <xf numFmtId="0" fontId="10" fillId="9" borderId="77" xfId="0" applyFont="1" applyFill="1" applyBorder="1" applyAlignment="1">
      <alignment horizontal="left" wrapText="1"/>
    </xf>
    <xf numFmtId="0" fontId="1" fillId="9" borderId="78" xfId="0" applyFont="1" applyFill="1" applyBorder="1" applyAlignment="1">
      <alignment horizontal="left" wrapText="1"/>
    </xf>
    <xf numFmtId="0" fontId="1" fillId="9" borderId="79" xfId="0" applyFont="1" applyFill="1" applyBorder="1" applyAlignment="1">
      <alignment horizontal="left" wrapText="1"/>
    </xf>
    <xf numFmtId="0" fontId="0" fillId="9" borderId="80" xfId="0" applyFill="1" applyBorder="1" applyAlignment="1">
      <alignment horizontal="left" wrapText="1"/>
    </xf>
    <xf numFmtId="0" fontId="0" fillId="9" borderId="75" xfId="0" applyFill="1" applyBorder="1" applyAlignment="1">
      <alignment horizontal="left" wrapText="1"/>
    </xf>
    <xf numFmtId="0" fontId="0" fillId="9" borderId="76" xfId="0" applyFill="1" applyBorder="1" applyAlignment="1">
      <alignment horizontal="left" wrapText="1"/>
    </xf>
    <xf numFmtId="0" fontId="4" fillId="0" borderId="81" xfId="0" applyFont="1" applyBorder="1" applyAlignment="1">
      <alignment wrapText="1"/>
    </xf>
    <xf numFmtId="0" fontId="1" fillId="11" borderId="83" xfId="0" applyFont="1" applyFill="1" applyBorder="1" applyAlignment="1">
      <alignment horizontal="left" wrapText="1"/>
    </xf>
    <xf numFmtId="0" fontId="1" fillId="11" borderId="84" xfId="0" applyFont="1" applyFill="1" applyBorder="1" applyAlignment="1">
      <alignment horizontal="left" wrapText="1"/>
    </xf>
    <xf numFmtId="0" fontId="1" fillId="11" borderId="82" xfId="0" applyFont="1" applyFill="1" applyBorder="1" applyAlignment="1">
      <alignment wrapText="1"/>
    </xf>
    <xf numFmtId="0" fontId="1" fillId="11" borderId="83" xfId="0" applyFont="1" applyFill="1" applyBorder="1" applyAlignment="1">
      <alignment wrapText="1"/>
    </xf>
    <xf numFmtId="0" fontId="1" fillId="11" borderId="85" xfId="0" applyFont="1" applyFill="1" applyBorder="1" applyAlignment="1">
      <alignment wrapText="1"/>
    </xf>
    <xf numFmtId="0" fontId="0" fillId="0" borderId="86" xfId="0" applyBorder="1" applyAlignment="1">
      <alignment wrapText="1"/>
    </xf>
    <xf numFmtId="0" fontId="0" fillId="0" borderId="15" xfId="0" applyBorder="1" applyAlignment="1">
      <alignment wrapText="1"/>
    </xf>
    <xf numFmtId="0" fontId="19" fillId="0" borderId="15" xfId="3" applyBorder="1" applyAlignment="1">
      <alignment wrapText="1"/>
    </xf>
    <xf numFmtId="0" fontId="19" fillId="0" borderId="29" xfId="3" applyBorder="1" applyAlignment="1">
      <alignment wrapText="1"/>
    </xf>
    <xf numFmtId="0" fontId="4" fillId="0" borderId="87" xfId="0" applyFont="1" applyBorder="1" applyAlignment="1">
      <alignment wrapText="1"/>
    </xf>
    <xf numFmtId="0" fontId="1" fillId="11" borderId="89" xfId="0" applyFont="1" applyFill="1" applyBorder="1" applyAlignment="1">
      <alignment horizontal="left" wrapText="1"/>
    </xf>
    <xf numFmtId="0" fontId="1" fillId="11" borderId="90" xfId="0" applyFont="1" applyFill="1" applyBorder="1" applyAlignment="1">
      <alignment horizontal="left" wrapText="1"/>
    </xf>
    <xf numFmtId="0" fontId="1" fillId="11" borderId="88" xfId="0" applyFont="1" applyFill="1" applyBorder="1" applyAlignment="1">
      <alignment wrapText="1"/>
    </xf>
    <xf numFmtId="0" fontId="1" fillId="11" borderId="89" xfId="0" applyFont="1" applyFill="1" applyBorder="1" applyAlignment="1">
      <alignment wrapText="1"/>
    </xf>
    <xf numFmtId="0" fontId="20" fillId="11" borderId="89" xfId="3" applyFont="1" applyFill="1" applyBorder="1" applyAlignment="1">
      <alignment wrapText="1"/>
    </xf>
    <xf numFmtId="0" fontId="1" fillId="11" borderId="91" xfId="0" applyFont="1" applyFill="1" applyBorder="1" applyAlignment="1">
      <alignment wrapText="1"/>
    </xf>
    <xf numFmtId="0" fontId="0" fillId="0" borderId="92" xfId="0" applyBorder="1" applyAlignment="1">
      <alignment wrapText="1"/>
    </xf>
    <xf numFmtId="0" fontId="0" fillId="0" borderId="89" xfId="0" applyBorder="1" applyAlignment="1">
      <alignment wrapText="1"/>
    </xf>
    <xf numFmtId="0" fontId="19" fillId="0" borderId="89" xfId="3" applyBorder="1" applyAlignment="1">
      <alignment wrapText="1"/>
    </xf>
    <xf numFmtId="0" fontId="19" fillId="0" borderId="91" xfId="3" applyBorder="1" applyAlignment="1">
      <alignment wrapText="1"/>
    </xf>
    <xf numFmtId="0" fontId="20" fillId="0" borderId="0" xfId="0" applyFont="1" applyAlignment="1">
      <alignment wrapText="1"/>
    </xf>
    <xf numFmtId="0" fontId="1" fillId="4" borderId="11" xfId="0" applyFont="1" applyFill="1" applyBorder="1" applyAlignment="1">
      <alignment horizontal="center" vertical="center"/>
    </xf>
    <xf numFmtId="0" fontId="1" fillId="4" borderId="33" xfId="0" applyFont="1" applyFill="1" applyBorder="1" applyAlignment="1">
      <alignment horizontal="center" vertical="center"/>
    </xf>
    <xf numFmtId="0" fontId="1" fillId="4" borderId="59" xfId="0" applyFont="1" applyFill="1" applyBorder="1" applyAlignment="1">
      <alignment horizontal="center" vertical="center"/>
    </xf>
    <xf numFmtId="0" fontId="0" fillId="0" borderId="0" xfId="0" applyFill="1" applyAlignment="1">
      <alignment wrapText="1"/>
    </xf>
    <xf numFmtId="0" fontId="0" fillId="0" borderId="0" xfId="0" quotePrefix="1" applyFill="1" applyAlignment="1">
      <alignment wrapText="1"/>
    </xf>
    <xf numFmtId="0" fontId="6" fillId="3" borderId="1" xfId="0" applyFont="1" applyFill="1" applyBorder="1" applyAlignment="1">
      <alignment wrapText="1"/>
    </xf>
    <xf numFmtId="49" fontId="2" fillId="3" borderId="1" xfId="0" applyNumberFormat="1" applyFont="1" applyFill="1" applyBorder="1" applyAlignment="1">
      <alignment wrapText="1"/>
    </xf>
    <xf numFmtId="0" fontId="0" fillId="0" borderId="0" xfId="0" quotePrefix="1" applyNumberFormat="1" applyFont="1" applyAlignment="1">
      <alignment wrapText="1"/>
    </xf>
    <xf numFmtId="0" fontId="11" fillId="13" borderId="70" xfId="0" applyFont="1" applyFill="1" applyBorder="1" applyAlignment="1">
      <alignment wrapText="1"/>
    </xf>
    <xf numFmtId="0" fontId="1" fillId="9" borderId="70" xfId="0" applyFont="1" applyFill="1" applyBorder="1" applyAlignment="1">
      <alignment horizontal="left" wrapText="1"/>
    </xf>
    <xf numFmtId="0" fontId="1" fillId="11" borderId="93" xfId="0" applyFont="1" applyFill="1" applyBorder="1" applyAlignment="1">
      <alignment horizontal="left" wrapText="1"/>
    </xf>
    <xf numFmtId="0" fontId="1" fillId="11" borderId="94" xfId="0" applyFont="1" applyFill="1" applyBorder="1" applyAlignment="1">
      <alignment horizontal="left" wrapText="1"/>
    </xf>
    <xf numFmtId="0" fontId="1" fillId="11" borderId="95" xfId="0" applyFont="1" applyFill="1" applyBorder="1" applyAlignment="1">
      <alignment horizontal="left" wrapText="1"/>
    </xf>
    <xf numFmtId="0" fontId="1" fillId="11" borderId="92" xfId="0" applyFont="1" applyFill="1" applyBorder="1" applyAlignment="1">
      <alignment horizontal="left" wrapText="1"/>
    </xf>
    <xf numFmtId="0" fontId="1" fillId="9" borderId="98" xfId="0" applyFont="1" applyFill="1" applyBorder="1" applyAlignment="1">
      <alignment horizontal="left" wrapText="1"/>
    </xf>
    <xf numFmtId="0" fontId="1" fillId="9" borderId="99" xfId="0" applyFont="1" applyFill="1" applyBorder="1" applyAlignment="1">
      <alignment horizontal="left" wrapText="1"/>
    </xf>
    <xf numFmtId="0" fontId="1" fillId="9" borderId="100" xfId="0" applyFont="1" applyFill="1" applyBorder="1" applyAlignment="1">
      <alignment horizontal="left" wrapText="1"/>
    </xf>
    <xf numFmtId="0" fontId="1" fillId="11" borderId="101" xfId="0" applyFont="1" applyFill="1" applyBorder="1" applyAlignment="1">
      <alignment horizontal="left" wrapText="1"/>
    </xf>
    <xf numFmtId="0" fontId="1" fillId="11" borderId="102" xfId="0" applyFont="1" applyFill="1" applyBorder="1" applyAlignment="1">
      <alignment horizontal="left" wrapText="1"/>
    </xf>
    <xf numFmtId="0" fontId="1" fillId="11" borderId="56" xfId="0" applyFont="1" applyFill="1" applyBorder="1" applyAlignment="1">
      <alignment horizontal="left" wrapText="1"/>
    </xf>
    <xf numFmtId="0" fontId="1" fillId="11" borderId="57" xfId="0" applyFont="1" applyFill="1" applyBorder="1" applyAlignment="1">
      <alignment horizontal="left" wrapText="1"/>
    </xf>
    <xf numFmtId="0" fontId="1" fillId="11" borderId="58" xfId="0" applyFont="1" applyFill="1" applyBorder="1" applyAlignment="1">
      <alignment horizontal="left" wrapText="1"/>
    </xf>
    <xf numFmtId="0" fontId="1" fillId="4" borderId="16"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1" fillId="6" borderId="46" xfId="1" applyFont="1" applyFill="1" applyBorder="1" applyAlignment="1" applyProtection="1">
      <alignment horizontal="left" vertical="center"/>
      <protection locked="0"/>
    </xf>
    <xf numFmtId="0" fontId="11" fillId="6" borderId="47" xfId="1" applyFont="1" applyFill="1" applyBorder="1" applyAlignment="1" applyProtection="1">
      <alignment horizontal="left" vertical="center"/>
      <protection locked="0"/>
    </xf>
    <xf numFmtId="0" fontId="11" fillId="6" borderId="48" xfId="1" applyFont="1" applyFill="1" applyBorder="1" applyAlignment="1" applyProtection="1">
      <alignment horizontal="left" vertical="center"/>
      <protection locked="0"/>
    </xf>
    <xf numFmtId="0" fontId="11" fillId="6" borderId="46" xfId="0" applyFont="1" applyFill="1" applyBorder="1" applyAlignment="1">
      <alignment horizontal="left" vertical="center"/>
    </xf>
    <xf numFmtId="0" fontId="11" fillId="6" borderId="47" xfId="0" applyFont="1" applyFill="1" applyBorder="1" applyAlignment="1">
      <alignment horizontal="left" vertical="center"/>
    </xf>
    <xf numFmtId="0" fontId="11" fillId="6" borderId="48" xfId="0" applyFont="1" applyFill="1" applyBorder="1" applyAlignment="1">
      <alignment horizontal="left" vertical="center"/>
    </xf>
    <xf numFmtId="0" fontId="11" fillId="6" borderId="46" xfId="1" applyFont="1" applyFill="1" applyBorder="1" applyAlignment="1" applyProtection="1">
      <protection locked="0"/>
    </xf>
    <xf numFmtId="0" fontId="11" fillId="6" borderId="48" xfId="1" applyFont="1" applyFill="1" applyBorder="1" applyAlignment="1" applyProtection="1">
      <protection locked="0"/>
    </xf>
    <xf numFmtId="0" fontId="11" fillId="6" borderId="25" xfId="1" applyFont="1" applyFill="1" applyBorder="1" applyAlignment="1" applyProtection="1">
      <alignment horizontal="left" vertical="center"/>
      <protection locked="0"/>
    </xf>
    <xf numFmtId="0" fontId="11" fillId="6" borderId="26" xfId="1" applyFont="1" applyFill="1" applyBorder="1" applyAlignment="1" applyProtection="1">
      <alignment horizontal="left" vertical="center"/>
      <protection locked="0"/>
    </xf>
    <xf numFmtId="0" fontId="11" fillId="6" borderId="46" xfId="0" applyFont="1" applyFill="1" applyBorder="1" applyAlignment="1">
      <alignment horizontal="left"/>
    </xf>
    <xf numFmtId="0" fontId="11" fillId="6" borderId="47" xfId="0" applyFont="1" applyFill="1" applyBorder="1" applyAlignment="1">
      <alignment horizontal="left"/>
    </xf>
    <xf numFmtId="0" fontId="11" fillId="6" borderId="48" xfId="0" applyFont="1" applyFill="1" applyBorder="1" applyAlignment="1">
      <alignment horizontal="left"/>
    </xf>
    <xf numFmtId="0" fontId="11" fillId="13" borderId="70" xfId="0" applyFont="1" applyFill="1" applyBorder="1" applyAlignment="1">
      <alignment wrapText="1"/>
    </xf>
    <xf numFmtId="0" fontId="11" fillId="13" borderId="96" xfId="0" applyFont="1" applyFill="1" applyBorder="1" applyAlignment="1">
      <alignment wrapText="1"/>
    </xf>
    <xf numFmtId="0" fontId="11" fillId="13" borderId="97" xfId="0" applyFont="1" applyFill="1" applyBorder="1" applyAlignment="1">
      <alignment wrapText="1"/>
    </xf>
    <xf numFmtId="0" fontId="11" fillId="13" borderId="71" xfId="0" applyFont="1" applyFill="1" applyBorder="1" applyAlignment="1">
      <alignment wrapText="1"/>
    </xf>
    <xf numFmtId="0" fontId="11" fillId="13" borderId="72" xfId="0" applyFont="1" applyFill="1" applyBorder="1" applyAlignment="1">
      <alignment wrapText="1"/>
    </xf>
    <xf numFmtId="0" fontId="11" fillId="13" borderId="73" xfId="0" applyFont="1" applyFill="1" applyBorder="1" applyAlignment="1">
      <alignment wrapText="1"/>
    </xf>
    <xf numFmtId="0" fontId="1" fillId="4" borderId="104"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56" xfId="0" applyFont="1" applyFill="1" applyBorder="1" applyAlignment="1">
      <alignment horizontal="center" vertical="center"/>
    </xf>
    <xf numFmtId="0" fontId="1" fillId="4" borderId="57" xfId="0" applyFont="1" applyFill="1" applyBorder="1" applyAlignment="1">
      <alignment horizontal="center" vertical="center"/>
    </xf>
    <xf numFmtId="0" fontId="1" fillId="4" borderId="58" xfId="0" applyFont="1" applyFill="1" applyBorder="1" applyAlignment="1">
      <alignment horizontal="center" vertical="center"/>
    </xf>
    <xf numFmtId="0" fontId="1" fillId="9" borderId="105" xfId="0" applyFont="1" applyFill="1" applyBorder="1" applyAlignment="1">
      <alignment horizontal="center" wrapText="1"/>
    </xf>
    <xf numFmtId="0" fontId="1" fillId="9" borderId="106" xfId="1" applyFont="1" applyFill="1" applyBorder="1" applyAlignment="1" applyProtection="1">
      <alignment wrapText="1"/>
      <protection locked="0"/>
    </xf>
    <xf numFmtId="0" fontId="10" fillId="0" borderId="68" xfId="1" applyFont="1" applyBorder="1" applyAlignment="1" applyProtection="1">
      <alignment vertical="center" wrapText="1"/>
      <protection locked="0"/>
    </xf>
    <xf numFmtId="0" fontId="1" fillId="0" borderId="22" xfId="0" applyFont="1" applyFill="1" applyBorder="1"/>
    <xf numFmtId="0" fontId="1" fillId="0" borderId="42" xfId="1" applyFont="1" applyFill="1" applyBorder="1" applyAlignment="1" applyProtection="1">
      <alignment vertical="center" wrapText="1"/>
    </xf>
    <xf numFmtId="0" fontId="1" fillId="0" borderId="4" xfId="1" applyFont="1" applyFill="1" applyBorder="1" applyAlignment="1" applyProtection="1">
      <alignment vertical="center" wrapText="1"/>
    </xf>
    <xf numFmtId="0" fontId="10" fillId="4" borderId="107" xfId="2" applyFont="1" applyFill="1" applyBorder="1" applyAlignment="1">
      <alignment horizontal="center" wrapText="1"/>
    </xf>
    <xf numFmtId="0" fontId="10" fillId="0" borderId="107" xfId="2" applyFont="1" applyFill="1" applyBorder="1" applyAlignment="1">
      <alignment horizontal="center" wrapText="1"/>
    </xf>
    <xf numFmtId="0" fontId="1" fillId="12" borderId="108" xfId="0" applyFont="1" applyFill="1" applyBorder="1" applyAlignment="1">
      <alignment horizontal="center" wrapText="1"/>
    </xf>
    <xf numFmtId="0" fontId="10" fillId="4" borderId="109" xfId="2" applyFont="1" applyFill="1" applyBorder="1" applyAlignment="1">
      <alignment horizontal="center" wrapText="1"/>
    </xf>
    <xf numFmtId="0" fontId="10" fillId="4" borderId="110" xfId="2" applyFont="1" applyFill="1" applyBorder="1" applyAlignment="1">
      <alignment horizontal="center" wrapText="1"/>
    </xf>
    <xf numFmtId="0" fontId="10" fillId="0" borderId="111" xfId="2" applyFont="1" applyFill="1" applyBorder="1" applyAlignment="1">
      <alignment horizontal="center" wrapText="1"/>
    </xf>
    <xf numFmtId="0" fontId="10" fillId="0" borderId="112" xfId="2" applyFont="1" applyFill="1" applyBorder="1" applyAlignment="1">
      <alignment horizontal="center" wrapText="1"/>
    </xf>
    <xf numFmtId="0" fontId="1" fillId="5" borderId="103" xfId="0" applyFont="1" applyFill="1" applyBorder="1" applyAlignment="1">
      <alignment horizontal="center" wrapText="1"/>
    </xf>
  </cellXfs>
  <cellStyles count="4">
    <cellStyle name="Hyperlink" xfId="3" builtinId="8"/>
    <cellStyle name="Normal" xfId="0" builtinId="0"/>
    <cellStyle name="Normal 2" xfId="2"/>
    <cellStyle name="Normal 2 2" xfId="1"/>
  </cellStyles>
  <dxfs count="0"/>
  <tableStyles count="0" defaultTableStyle="TableStyleMedium2" defaultPivotStyle="PivotStyleLight16"/>
  <colors>
    <mruColors>
      <color rgb="FF00FF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60511</xdr:colOff>
      <xdr:row>0</xdr:row>
      <xdr:rowOff>60509</xdr:rowOff>
    </xdr:from>
    <xdr:to>
      <xdr:col>5</xdr:col>
      <xdr:colOff>2868706</xdr:colOff>
      <xdr:row>8</xdr:row>
      <xdr:rowOff>201705</xdr:rowOff>
    </xdr:to>
    <xdr:sp macro="" textlink="">
      <xdr:nvSpPr>
        <xdr:cNvPr id="2" name="TextBox 1"/>
        <xdr:cNvSpPr txBox="1"/>
      </xdr:nvSpPr>
      <xdr:spPr>
        <a:xfrm>
          <a:off x="6369423" y="60509"/>
          <a:ext cx="6483724" cy="2505637"/>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INSTRUCTIONS!</a:t>
          </a:r>
          <a:endParaRPr lang="en-US" sz="1200">
            <a:effectLst/>
          </a:endParaRPr>
        </a:p>
        <a:p>
          <a:r>
            <a:rPr lang="en-US" sz="1100">
              <a:solidFill>
                <a:schemeClr val="dk1"/>
              </a:solidFill>
              <a:effectLst/>
              <a:latin typeface="+mn-lt"/>
              <a:ea typeface="+mn-ea"/>
              <a:cs typeface="+mn-cs"/>
            </a:rPr>
            <a:t>1. Complete the required files in each table. </a:t>
          </a:r>
          <a:endParaRPr lang="en-US" sz="1100">
            <a:effectLst/>
          </a:endParaRPr>
        </a:p>
        <a:p>
          <a:r>
            <a:rPr lang="en-US" sz="1100">
              <a:solidFill>
                <a:schemeClr val="dk1"/>
              </a:solidFill>
              <a:effectLst/>
              <a:latin typeface="+mn-lt"/>
              <a:ea typeface="+mn-ea"/>
              <a:cs typeface="+mn-cs"/>
            </a:rPr>
            <a:t>2. Note: ODBC driver must be installed to run the query. See </a:t>
          </a:r>
          <a:endParaRPr lang="en-US" sz="1100">
            <a:effectLst/>
          </a:endParaRPr>
        </a:p>
        <a:p>
          <a:r>
            <a:rPr lang="en-US" sz="1100">
              <a:solidFill>
                <a:schemeClr val="dk1"/>
              </a:solidFill>
              <a:effectLst/>
              <a:latin typeface="+mn-lt"/>
              <a:ea typeface="+mn-ea"/>
              <a:cs typeface="+mn-cs"/>
            </a:rPr>
            <a:t>3. Click the "Generate Test Data" button to create the necessary data and templates for the next steps. Includes</a:t>
          </a:r>
          <a:r>
            <a:rPr lang="en-US" sz="1100" baseline="0">
              <a:solidFill>
                <a:schemeClr val="dk1"/>
              </a:solidFill>
              <a:effectLst/>
              <a:latin typeface="+mn-lt"/>
              <a:ea typeface="+mn-ea"/>
              <a:cs typeface="+mn-cs"/>
            </a:rPr>
            <a:t> selecting import containers from DB, creating trucking company, license plate and driver to DB, creating vessel visit, booking, preadvise and creating truck appointment.</a:t>
          </a:r>
          <a:endParaRPr lang="en-US" sz="1100">
            <a:effectLst/>
          </a:endParaRPr>
        </a:p>
        <a:p>
          <a:r>
            <a:rPr lang="en-US" sz="1100">
              <a:solidFill>
                <a:schemeClr val="dk1"/>
              </a:solidFill>
              <a:effectLst/>
              <a:latin typeface="+mn-lt"/>
              <a:ea typeface="+mn-ea"/>
              <a:cs typeface="+mn-cs"/>
            </a:rPr>
            <a:t>4. The Gate Lane and Report files required for Katalon execution must also be generated and stored in the same folder as this workbook. The number of lanes determines the files generated or both gate lane and report.</a:t>
          </a:r>
        </a:p>
        <a:p>
          <a:r>
            <a:rPr lang="en-US" sz="1100">
              <a:effectLst/>
            </a:rPr>
            <a:t>5. Search for the vessel visit in the UI and manually add cut-off.</a:t>
          </a:r>
        </a:p>
        <a:p>
          <a:r>
            <a:rPr lang="en-US" sz="1100">
              <a:effectLst/>
            </a:rPr>
            <a:t>6. Go to OPS</a:t>
          </a:r>
          <a:r>
            <a:rPr lang="en-US" sz="1100" baseline="0">
              <a:effectLst/>
            </a:rPr>
            <a:t>&gt;Yard Planning and look for QA_AUTOMATION_EX filter and change the outbound visit to the created vessel visit.</a:t>
          </a:r>
        </a:p>
        <a:p>
          <a:r>
            <a:rPr lang="en-US" sz="1100" baseline="0">
              <a:effectLst/>
            </a:rPr>
            <a:t>7. Start OPS simulation.</a:t>
          </a:r>
        </a:p>
        <a:p>
          <a:r>
            <a:rPr lang="en-US" sz="1100" baseline="0">
              <a:effectLst/>
            </a:rPr>
            <a:t>8. Run the batch file to run Katalon.</a:t>
          </a:r>
        </a:p>
      </xdr:txBody>
    </xdr:sp>
    <xdr:clientData/>
  </xdr:twoCellAnchor>
  <xdr:twoCellAnchor>
    <xdr:from>
      <xdr:col>2</xdr:col>
      <xdr:colOff>229159</xdr:colOff>
      <xdr:row>0</xdr:row>
      <xdr:rowOff>109819</xdr:rowOff>
    </xdr:from>
    <xdr:to>
      <xdr:col>2</xdr:col>
      <xdr:colOff>1572184</xdr:colOff>
      <xdr:row>0</xdr:row>
      <xdr:rowOff>471208</xdr:rowOff>
    </xdr:to>
    <xdr:sp macro="[0]!CheckEmptyCells" textlink="">
      <xdr:nvSpPr>
        <xdr:cNvPr id="6" name="Rectangle 5">
          <a:extLst>
            <a:ext uri="{FF2B5EF4-FFF2-40B4-BE49-F238E27FC236}">
              <a16:creationId xmlns:a16="http://schemas.microsoft.com/office/drawing/2014/main" id="{00000000-0008-0000-0700-000004000000}"/>
            </a:ext>
          </a:extLst>
        </xdr:cNvPr>
        <xdr:cNvSpPr/>
      </xdr:nvSpPr>
      <xdr:spPr>
        <a:xfrm>
          <a:off x="4700306" y="109819"/>
          <a:ext cx="1343025" cy="36138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0</xdr:row>
          <xdr:rowOff>419100</xdr:rowOff>
        </xdr:from>
        <xdr:to>
          <xdr:col>5</xdr:col>
          <xdr:colOff>752475</xdr:colOff>
          <xdr:row>1</xdr:row>
          <xdr:rowOff>114300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257736</xdr:colOff>
      <xdr:row>1</xdr:row>
      <xdr:rowOff>33619</xdr:rowOff>
    </xdr:from>
    <xdr:to>
      <xdr:col>2</xdr:col>
      <xdr:colOff>1524560</xdr:colOff>
      <xdr:row>1</xdr:row>
      <xdr:rowOff>528919</xdr:rowOff>
    </xdr:to>
    <xdr:grpSp>
      <xdr:nvGrpSpPr>
        <xdr:cNvPr id="14" name="Group 13"/>
        <xdr:cNvGrpSpPr/>
      </xdr:nvGrpSpPr>
      <xdr:grpSpPr>
        <a:xfrm>
          <a:off x="4728883" y="571501"/>
          <a:ext cx="1266824" cy="495300"/>
          <a:chOff x="95250" y="47625"/>
          <a:chExt cx="1266824" cy="495300"/>
        </a:xfrm>
      </xdr:grpSpPr>
      <xdr:sp macro="" textlink="">
        <xdr:nvSpPr>
          <xdr:cNvPr id="15" name="Rectangle 14"/>
          <xdr:cNvSpPr/>
        </xdr:nvSpPr>
        <xdr:spPr>
          <a:xfrm>
            <a:off x="95250" y="95250"/>
            <a:ext cx="142875" cy="104775"/>
          </a:xfrm>
          <a:prstGeom prst="rect">
            <a:avLst/>
          </a:prstGeom>
          <a:solidFill>
            <a:srgbClr val="CCFF99"/>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6" name="TextBox 15"/>
          <xdr:cNvSpPr txBox="1"/>
        </xdr:nvSpPr>
        <xdr:spPr>
          <a:xfrm>
            <a:off x="247649" y="476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Requires</a:t>
            </a:r>
            <a:r>
              <a:rPr lang="en-US" sz="800" baseline="0"/>
              <a:t> User Input</a:t>
            </a:r>
            <a:endParaRPr lang="en-US" sz="800"/>
          </a:p>
        </xdr:txBody>
      </xdr:sp>
      <xdr:sp macro="" textlink="">
        <xdr:nvSpPr>
          <xdr:cNvPr id="17" name="Rectangle 16"/>
          <xdr:cNvSpPr/>
        </xdr:nvSpPr>
        <xdr:spPr>
          <a:xfrm>
            <a:off x="95250" y="268381"/>
            <a:ext cx="142875" cy="104775"/>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8" name="TextBox 17"/>
          <xdr:cNvSpPr txBox="1"/>
        </xdr:nvSpPr>
        <xdr:spPr>
          <a:xfrm>
            <a:off x="247649" y="220756"/>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Auto Populated</a:t>
            </a:r>
          </a:p>
        </xdr:txBody>
      </xdr:sp>
      <xdr:sp macro="" textlink="">
        <xdr:nvSpPr>
          <xdr:cNvPr id="19" name="Rectangle 18"/>
          <xdr:cNvSpPr/>
        </xdr:nvSpPr>
        <xdr:spPr>
          <a:xfrm>
            <a:off x="95250" y="438150"/>
            <a:ext cx="142875" cy="10477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20" name="TextBox 19"/>
          <xdr:cNvSpPr txBox="1"/>
        </xdr:nvSpPr>
        <xdr:spPr>
          <a:xfrm>
            <a:off x="247649" y="3905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Pre-existing Data</a:t>
            </a:r>
          </a:p>
        </xdr:txBody>
      </xdr:sp>
    </xdr:grp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76200</xdr:rowOff>
        </xdr:from>
        <xdr:to>
          <xdr:col>1</xdr:col>
          <xdr:colOff>2305050</xdr:colOff>
          <xdr:row>0</xdr:row>
          <xdr:rowOff>438150</xdr:rowOff>
        </xdr:to>
        <xdr:sp macro="" textlink="">
          <xdr:nvSpPr>
            <xdr:cNvPr id="1037" name="ComboBox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xdr:row>
          <xdr:rowOff>123825</xdr:rowOff>
        </xdr:from>
        <xdr:to>
          <xdr:col>1</xdr:col>
          <xdr:colOff>2362200</xdr:colOff>
          <xdr:row>1</xdr:row>
          <xdr:rowOff>400050</xdr:rowOff>
        </xdr:to>
        <xdr:sp macro="" textlink="">
          <xdr:nvSpPr>
            <xdr:cNvPr id="1038" name="ComboBox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hyperlink" Target="file:///\\lqnqa-a01\work\ZARA\zara\logs" TargetMode="External"/><Relationship Id="rId7" Type="http://schemas.openxmlformats.org/officeDocument/2006/relationships/hyperlink" Target="mailto:welcome@1" TargetMode="External"/><Relationship Id="rId2" Type="http://schemas.openxmlformats.org/officeDocument/2006/relationships/hyperlink" Target="https://zodiacappqa.lqn.zodiac-cloud.com/cygate/swg.html" TargetMode="External"/><Relationship Id="rId1" Type="http://schemas.openxmlformats.org/officeDocument/2006/relationships/hyperlink" Target="https://zodiacappqa.lqn.zodiac-cloud.com/zodiac/fdn/" TargetMode="External"/><Relationship Id="rId6" Type="http://schemas.openxmlformats.org/officeDocument/2006/relationships/hyperlink" Target="https://zodiacappqp.cz1.zodiac-cloud.com/zodiac/fdn/" TargetMode="External"/><Relationship Id="rId5" Type="http://schemas.openxmlformats.org/officeDocument/2006/relationships/hyperlink" Target="https://zodiacappqa.cz1.zodiac-cloud.com/cygate/swg.html" TargetMode="External"/><Relationship Id="rId4" Type="http://schemas.openxmlformats.org/officeDocument/2006/relationships/hyperlink" Target="file:///\\cz1qp-a01\work\ZARA\zara\log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93"/>
  <sheetViews>
    <sheetView tabSelected="1" zoomScale="85" zoomScaleNormal="85" workbookViewId="0">
      <selection activeCell="F65" sqref="F65"/>
    </sheetView>
  </sheetViews>
  <sheetFormatPr defaultRowHeight="15.75" x14ac:dyDescent="0.25"/>
  <cols>
    <col min="1" max="1" width="29.5703125" style="32" customWidth="1"/>
    <col min="2" max="2" width="37.42578125" style="32" customWidth="1"/>
    <col min="3" max="3" width="27.5703125" style="32" customWidth="1"/>
    <col min="4" max="4" width="26.5703125" style="38" customWidth="1"/>
    <col min="5" max="5" width="28.5703125" style="38" customWidth="1"/>
    <col min="6" max="6" width="44" style="38" customWidth="1"/>
    <col min="7" max="7" width="20.5703125" style="38" customWidth="1"/>
    <col min="8" max="8" width="23.7109375" style="38" customWidth="1"/>
    <col min="9" max="9" width="9.140625" style="38" customWidth="1"/>
    <col min="10" max="10" width="27" style="38" customWidth="1"/>
    <col min="11" max="11" width="27.42578125" style="38" customWidth="1"/>
    <col min="12" max="12" width="9.140625" style="38" customWidth="1"/>
    <col min="13" max="16384" width="9.140625" style="38"/>
  </cols>
  <sheetData>
    <row r="1" spans="1:15" ht="42" customHeight="1" x14ac:dyDescent="0.25">
      <c r="A1" s="74" t="s">
        <v>0</v>
      </c>
    </row>
    <row r="2" spans="1:15" ht="45" customHeight="1" x14ac:dyDescent="0.25">
      <c r="A2" s="75" t="s">
        <v>1</v>
      </c>
    </row>
    <row r="3" spans="1:15" ht="17.25" customHeight="1" x14ac:dyDescent="0.25">
      <c r="A3" s="98"/>
    </row>
    <row r="4" spans="1:15" ht="17.25" customHeight="1" x14ac:dyDescent="0.25">
      <c r="A4" s="98"/>
    </row>
    <row r="5" spans="1:15" s="30" customFormat="1" x14ac:dyDescent="0.25">
      <c r="D5" s="1"/>
      <c r="E5" s="45"/>
      <c r="F5" s="46"/>
      <c r="G5" s="46"/>
      <c r="H5" s="2"/>
      <c r="I5" s="2"/>
    </row>
    <row r="6" spans="1:15" s="30" customFormat="1" x14ac:dyDescent="0.25">
      <c r="C6" s="31"/>
      <c r="E6" s="46"/>
      <c r="F6" s="46"/>
      <c r="G6" s="46"/>
      <c r="H6" s="1"/>
      <c r="I6" s="1"/>
      <c r="J6" s="1"/>
    </row>
    <row r="7" spans="1:15" s="30" customFormat="1" x14ac:dyDescent="0.25">
      <c r="C7" s="31"/>
      <c r="E7" s="46"/>
      <c r="F7" s="46"/>
      <c r="G7" s="46"/>
      <c r="J7" s="1"/>
    </row>
    <row r="8" spans="1:15" s="30" customFormat="1" x14ac:dyDescent="0.25">
      <c r="E8" s="46"/>
      <c r="F8" s="46"/>
      <c r="G8" s="46"/>
      <c r="J8" s="1"/>
    </row>
    <row r="9" spans="1:15" s="30" customFormat="1" x14ac:dyDescent="0.25">
      <c r="E9" s="46"/>
      <c r="F9" s="46"/>
      <c r="G9" s="46"/>
      <c r="J9" s="1"/>
    </row>
    <row r="10" spans="1:15" s="30" customFormat="1" x14ac:dyDescent="0.25">
      <c r="J10" s="1"/>
      <c r="K10" s="31"/>
      <c r="L10" s="31"/>
      <c r="M10" s="31"/>
      <c r="N10" s="31"/>
      <c r="O10" s="31"/>
    </row>
    <row r="11" spans="1:15" s="30" customFormat="1" x14ac:dyDescent="0.25">
      <c r="J11" s="1"/>
      <c r="K11" s="31"/>
      <c r="L11" s="31"/>
      <c r="M11" s="31"/>
      <c r="N11" s="31"/>
      <c r="O11" s="31"/>
    </row>
    <row r="12" spans="1:15" s="30" customFormat="1" x14ac:dyDescent="0.25">
      <c r="J12" s="32"/>
      <c r="K12" s="31"/>
      <c r="L12" s="31"/>
      <c r="M12" s="31"/>
      <c r="N12" s="31"/>
      <c r="O12" s="31"/>
    </row>
    <row r="13" spans="1:15" s="30" customFormat="1" ht="16.5" thickBot="1" x14ac:dyDescent="0.3">
      <c r="J13" s="32"/>
      <c r="K13" s="31"/>
      <c r="L13" s="31"/>
      <c r="M13" s="31"/>
      <c r="N13" s="31"/>
      <c r="O13" s="31"/>
    </row>
    <row r="14" spans="1:15" s="30" customFormat="1" ht="21.75" customHeight="1" thickBot="1" x14ac:dyDescent="0.3">
      <c r="A14" s="227" t="s">
        <v>24</v>
      </c>
      <c r="B14" s="228"/>
      <c r="C14" s="99"/>
      <c r="J14" s="32"/>
      <c r="K14" s="31"/>
      <c r="L14" s="31"/>
      <c r="M14" s="31"/>
      <c r="N14" s="31"/>
      <c r="O14" s="31"/>
    </row>
    <row r="15" spans="1:15" x14ac:dyDescent="0.25">
      <c r="A15" s="84" t="s">
        <v>54</v>
      </c>
      <c r="B15" s="69" t="s">
        <v>468</v>
      </c>
      <c r="C15" s="99"/>
    </row>
    <row r="16" spans="1:15" x14ac:dyDescent="0.25">
      <c r="A16" s="85" t="s">
        <v>55</v>
      </c>
      <c r="B16" s="65" t="s">
        <v>468</v>
      </c>
      <c r="C16" s="99"/>
    </row>
    <row r="17" spans="1:5" x14ac:dyDescent="0.25">
      <c r="A17" s="82" t="s">
        <v>56</v>
      </c>
      <c r="B17" s="66" t="s">
        <v>468</v>
      </c>
      <c r="C17" s="30"/>
    </row>
    <row r="18" spans="1:5" x14ac:dyDescent="0.25">
      <c r="A18" s="83" t="s">
        <v>57</v>
      </c>
      <c r="B18" s="67" t="s">
        <v>468</v>
      </c>
      <c r="C18" s="30"/>
    </row>
    <row r="19" spans="1:5" x14ac:dyDescent="0.25">
      <c r="A19" s="82" t="s">
        <v>58</v>
      </c>
      <c r="B19" s="65" t="s">
        <v>468</v>
      </c>
      <c r="C19" s="30"/>
    </row>
    <row r="20" spans="1:5" x14ac:dyDescent="0.25">
      <c r="A20" s="82" t="s">
        <v>59</v>
      </c>
      <c r="B20" s="66" t="s">
        <v>468</v>
      </c>
      <c r="C20" s="30"/>
    </row>
    <row r="21" spans="1:5" ht="16.5" thickBot="1" x14ac:dyDescent="0.3">
      <c r="A21" s="81" t="s">
        <v>60</v>
      </c>
      <c r="B21" s="70">
        <v>20</v>
      </c>
      <c r="C21" s="30"/>
    </row>
    <row r="22" spans="1:5" x14ac:dyDescent="0.25">
      <c r="B22" s="60"/>
    </row>
    <row r="23" spans="1:5" ht="16.5" thickBot="1" x14ac:dyDescent="0.3">
      <c r="B23" s="60"/>
    </row>
    <row r="24" spans="1:5" ht="19.5" thickBot="1" x14ac:dyDescent="0.35">
      <c r="A24" s="229" t="s">
        <v>110</v>
      </c>
      <c r="B24" s="230"/>
      <c r="C24" s="230"/>
      <c r="D24" s="230"/>
      <c r="E24" s="231"/>
    </row>
    <row r="25" spans="1:5" ht="18.75" hidden="1" x14ac:dyDescent="0.3">
      <c r="A25" s="105"/>
      <c r="B25" s="105"/>
      <c r="C25" s="105"/>
      <c r="D25" s="118"/>
      <c r="E25" s="119"/>
    </row>
    <row r="26" spans="1:5" hidden="1" x14ac:dyDescent="0.25">
      <c r="A26" s="105"/>
      <c r="B26" s="105"/>
      <c r="C26" s="105"/>
      <c r="D26" s="105"/>
      <c r="E26" s="63"/>
    </row>
    <row r="27" spans="1:5" hidden="1" x14ac:dyDescent="0.25">
      <c r="A27" s="105"/>
      <c r="B27" s="105"/>
      <c r="C27" s="105"/>
      <c r="D27" s="61"/>
      <c r="E27" s="63"/>
    </row>
    <row r="28" spans="1:5" hidden="1" x14ac:dyDescent="0.25">
      <c r="A28" s="105"/>
      <c r="B28" s="105"/>
      <c r="C28" s="105"/>
      <c r="D28" s="61"/>
      <c r="E28" s="63"/>
    </row>
    <row r="29" spans="1:5" hidden="1" x14ac:dyDescent="0.25">
      <c r="A29" s="105"/>
      <c r="B29" s="105"/>
      <c r="C29" s="105"/>
      <c r="D29" s="61"/>
      <c r="E29" s="63"/>
    </row>
    <row r="30" spans="1:5" ht="16.5" hidden="1" thickBot="1" x14ac:dyDescent="0.3">
      <c r="A30" s="105"/>
      <c r="B30" s="105"/>
      <c r="C30" s="105"/>
      <c r="D30" s="106"/>
      <c r="E30" s="63"/>
    </row>
    <row r="31" spans="1:5" ht="19.5" thickBot="1" x14ac:dyDescent="0.3">
      <c r="A31" s="219" t="s">
        <v>73</v>
      </c>
      <c r="B31" s="220"/>
      <c r="C31" s="146" t="s">
        <v>74</v>
      </c>
      <c r="D31" s="107"/>
      <c r="E31" s="108"/>
    </row>
    <row r="32" spans="1:5" x14ac:dyDescent="0.25">
      <c r="A32" s="90" t="s">
        <v>87</v>
      </c>
      <c r="B32" s="112" t="s">
        <v>470</v>
      </c>
      <c r="C32" s="113" t="s">
        <v>104</v>
      </c>
      <c r="D32" s="157" t="str">
        <f ca="1">"BKG_"&amp;TEXT(NOW(),"yyyymmdd") &amp; "05"</f>
        <v>BKG_2023080705</v>
      </c>
      <c r="E32" s="114"/>
    </row>
    <row r="33" spans="1:6" x14ac:dyDescent="0.25">
      <c r="A33" s="88" t="s">
        <v>88</v>
      </c>
      <c r="B33" s="32" t="s">
        <v>113</v>
      </c>
      <c r="C33" s="89" t="s">
        <v>9</v>
      </c>
      <c r="D33" s="71" t="s">
        <v>61</v>
      </c>
      <c r="E33" s="64"/>
    </row>
    <row r="34" spans="1:6" x14ac:dyDescent="0.25">
      <c r="A34" s="89" t="s">
        <v>89</v>
      </c>
      <c r="B34" s="96" t="s">
        <v>112</v>
      </c>
      <c r="C34" s="89" t="s">
        <v>100</v>
      </c>
      <c r="D34" s="59" t="s">
        <v>470</v>
      </c>
      <c r="E34" s="64"/>
    </row>
    <row r="35" spans="1:6" x14ac:dyDescent="0.25">
      <c r="A35" s="92" t="s">
        <v>90</v>
      </c>
      <c r="B35" s="86" t="s">
        <v>80</v>
      </c>
      <c r="C35" s="89" t="s">
        <v>11</v>
      </c>
      <c r="D35" s="71" t="s">
        <v>111</v>
      </c>
      <c r="E35" s="64"/>
    </row>
    <row r="36" spans="1:6" ht="16.5" thickBot="1" x14ac:dyDescent="0.3">
      <c r="A36" s="90" t="s">
        <v>91</v>
      </c>
      <c r="B36" s="86" t="s">
        <v>61</v>
      </c>
      <c r="C36" s="115" t="s">
        <v>12</v>
      </c>
      <c r="D36" s="116" t="s">
        <v>115</v>
      </c>
      <c r="E36" s="117"/>
    </row>
    <row r="37" spans="1:6" ht="16.5" thickBot="1" x14ac:dyDescent="0.3">
      <c r="A37" s="89" t="s">
        <v>92</v>
      </c>
      <c r="B37" s="86" t="s">
        <v>75</v>
      </c>
      <c r="C37" s="109" t="s">
        <v>101</v>
      </c>
      <c r="D37" s="110" t="s">
        <v>81</v>
      </c>
      <c r="E37" s="111" t="s">
        <v>82</v>
      </c>
    </row>
    <row r="38" spans="1:6" ht="31.5" x14ac:dyDescent="0.25">
      <c r="A38" s="93" t="s">
        <v>93</v>
      </c>
      <c r="B38" s="86" t="s">
        <v>75</v>
      </c>
      <c r="C38" s="238">
        <v>2000</v>
      </c>
      <c r="D38" s="239"/>
      <c r="E38" s="240">
        <v>5</v>
      </c>
    </row>
    <row r="39" spans="1:6" ht="24.75" x14ac:dyDescent="0.25">
      <c r="A39" s="94" t="s">
        <v>94</v>
      </c>
      <c r="B39" s="87" t="s">
        <v>114</v>
      </c>
      <c r="C39" s="213">
        <v>4000</v>
      </c>
      <c r="D39" s="214"/>
      <c r="E39" s="215">
        <v>5</v>
      </c>
      <c r="F39" s="147" t="s">
        <v>117</v>
      </c>
    </row>
    <row r="40" spans="1:6" x14ac:dyDescent="0.25">
      <c r="A40" s="94" t="s">
        <v>95</v>
      </c>
      <c r="B40" s="101" t="s">
        <v>469</v>
      </c>
      <c r="C40" s="213"/>
      <c r="D40" s="214"/>
      <c r="E40" s="215"/>
    </row>
    <row r="41" spans="1:6" x14ac:dyDescent="0.25">
      <c r="A41" s="94" t="s">
        <v>96</v>
      </c>
      <c r="B41" s="100" t="s">
        <v>469</v>
      </c>
      <c r="C41" s="213"/>
      <c r="D41" s="214"/>
      <c r="E41" s="215"/>
    </row>
    <row r="42" spans="1:6" x14ac:dyDescent="0.25">
      <c r="A42" s="88" t="s">
        <v>97</v>
      </c>
      <c r="B42" s="95" t="str">
        <f ca="1">TEXT(NOW(), "yyyy-mm-dd") &amp; "T" &amp; TEXT(NOW(), "hh:mm:ss") &amp; "+08:00"</f>
        <v>2023-08-07T11:07:33+08:00</v>
      </c>
      <c r="C42" s="213"/>
      <c r="D42" s="214"/>
      <c r="E42" s="215"/>
    </row>
    <row r="43" spans="1:6" x14ac:dyDescent="0.25">
      <c r="A43" s="89" t="s">
        <v>98</v>
      </c>
      <c r="B43" s="91" t="str">
        <f ca="1">TEXT(NOW() + 2, "yyyy-mm-dd") &amp; "T" &amp; TEXT(NOW(), "hh:mm:ss") &amp; "+08:00"</f>
        <v>2023-08-09T11:07:33+08:00</v>
      </c>
      <c r="C43" s="213"/>
      <c r="D43" s="214"/>
      <c r="E43" s="215"/>
    </row>
    <row r="44" spans="1:6" x14ac:dyDescent="0.25">
      <c r="A44" s="89" t="s">
        <v>99</v>
      </c>
      <c r="B44" s="91" t="str">
        <f ca="1">TEXT(NOW() + 1, "yyyy-mm-dd") &amp; "T" &amp; TEXT(NOW(), "hh:mm:ss") &amp; "+08:00"</f>
        <v>2023-08-08T11:07:33+08:00</v>
      </c>
      <c r="C44" s="213"/>
      <c r="D44" s="214"/>
      <c r="E44" s="215"/>
    </row>
    <row r="45" spans="1:6" x14ac:dyDescent="0.25">
      <c r="A45" s="88" t="s">
        <v>103</v>
      </c>
      <c r="B45" s="96" t="s">
        <v>83</v>
      </c>
      <c r="C45" s="213"/>
      <c r="D45" s="214"/>
      <c r="E45" s="215"/>
    </row>
    <row r="46" spans="1:6" x14ac:dyDescent="0.25">
      <c r="A46" s="88" t="s">
        <v>116</v>
      </c>
      <c r="B46" s="112" t="s">
        <v>469</v>
      </c>
      <c r="C46" s="213"/>
      <c r="D46" s="214"/>
      <c r="E46" s="215"/>
    </row>
    <row r="47" spans="1:6" ht="16.5" thickBot="1" x14ac:dyDescent="0.3">
      <c r="A47" s="97"/>
      <c r="B47" s="39"/>
      <c r="C47" s="241"/>
      <c r="D47" s="242"/>
      <c r="E47" s="243"/>
    </row>
    <row r="48" spans="1:6" ht="21" customHeight="1" x14ac:dyDescent="0.25">
      <c r="A48" s="68"/>
    </row>
    <row r="49" spans="1:15" ht="16.5" thickBot="1" x14ac:dyDescent="0.3"/>
    <row r="50" spans="1:15" s="30" customFormat="1" ht="34.5" customHeight="1" thickBot="1" x14ac:dyDescent="0.35">
      <c r="A50" s="219" t="s">
        <v>25</v>
      </c>
      <c r="B50" s="220"/>
      <c r="C50" s="220"/>
      <c r="D50" s="221"/>
      <c r="E50" s="225" t="s">
        <v>44</v>
      </c>
      <c r="F50" s="226"/>
      <c r="G50" s="58"/>
      <c r="J50" s="33"/>
      <c r="K50" s="31"/>
      <c r="L50" s="31"/>
      <c r="M50" s="31"/>
      <c r="N50" s="31"/>
      <c r="O50" s="31"/>
    </row>
    <row r="51" spans="1:15" s="30" customFormat="1" ht="114.75" customHeight="1" x14ac:dyDescent="0.25">
      <c r="A51" s="120" t="s">
        <v>102</v>
      </c>
      <c r="B51" s="121" t="s">
        <v>471</v>
      </c>
      <c r="C51" s="122"/>
      <c r="D51" s="123"/>
      <c r="E51" s="245" t="s">
        <v>41</v>
      </c>
      <c r="F51" s="246" t="s">
        <v>224</v>
      </c>
      <c r="J51" s="36"/>
      <c r="K51" s="31"/>
      <c r="L51" s="31"/>
      <c r="M51" s="31"/>
      <c r="N51" s="31"/>
      <c r="O51" s="31"/>
    </row>
    <row r="52" spans="1:15" s="30" customFormat="1" ht="107.25" customHeight="1" x14ac:dyDescent="0.25">
      <c r="A52" s="78" t="s">
        <v>9</v>
      </c>
      <c r="B52" s="62" t="s">
        <v>61</v>
      </c>
      <c r="C52" s="34"/>
      <c r="D52" s="35"/>
      <c r="E52" s="104" t="s">
        <v>42</v>
      </c>
      <c r="F52" s="44" t="s">
        <v>223</v>
      </c>
      <c r="J52" s="32"/>
      <c r="K52" s="31"/>
      <c r="L52" s="31"/>
      <c r="M52" s="31"/>
      <c r="N52" s="31"/>
      <c r="O52" s="31"/>
    </row>
    <row r="53" spans="1:15" s="30" customFormat="1" ht="32.25" customHeight="1" x14ac:dyDescent="0.25">
      <c r="A53" s="78" t="s">
        <v>10</v>
      </c>
      <c r="B53" s="62" t="s">
        <v>470</v>
      </c>
      <c r="C53" s="42"/>
      <c r="D53" s="43"/>
      <c r="E53" s="247"/>
      <c r="F53" s="37"/>
      <c r="J53" s="32"/>
      <c r="K53" s="31"/>
      <c r="L53" s="31"/>
      <c r="M53" s="31"/>
      <c r="N53" s="31"/>
      <c r="O53" s="31"/>
    </row>
    <row r="54" spans="1:15" s="30" customFormat="1" ht="53.25" customHeight="1" x14ac:dyDescent="0.25">
      <c r="A54" s="80" t="s">
        <v>11</v>
      </c>
      <c r="B54" s="62" t="s">
        <v>111</v>
      </c>
      <c r="C54" s="42"/>
      <c r="D54" s="43"/>
      <c r="E54" s="247"/>
      <c r="F54" s="47" t="s">
        <v>51</v>
      </c>
      <c r="J54" s="32"/>
      <c r="K54" s="31"/>
      <c r="L54" s="31"/>
      <c r="M54" s="31"/>
      <c r="N54" s="31"/>
      <c r="O54" s="31"/>
    </row>
    <row r="55" spans="1:15" s="30" customFormat="1" ht="18.75" customHeight="1" x14ac:dyDescent="0.25">
      <c r="A55" s="79" t="s">
        <v>12</v>
      </c>
      <c r="B55" s="62" t="s">
        <v>115</v>
      </c>
      <c r="C55" s="77"/>
      <c r="D55" s="43"/>
      <c r="E55" s="247"/>
      <c r="F55" s="37"/>
      <c r="J55" s="32"/>
      <c r="K55" s="31"/>
      <c r="L55" s="31"/>
      <c r="M55" s="31"/>
      <c r="N55" s="31"/>
      <c r="O55" s="31"/>
    </row>
    <row r="56" spans="1:15" s="30" customFormat="1" ht="15.75" customHeight="1" thickBot="1" x14ac:dyDescent="0.3">
      <c r="A56" s="80" t="s">
        <v>13</v>
      </c>
      <c r="B56" s="124" t="s">
        <v>472</v>
      </c>
      <c r="C56" s="125" t="s">
        <v>43</v>
      </c>
      <c r="D56" s="76" t="s">
        <v>61</v>
      </c>
      <c r="E56" s="248"/>
      <c r="F56" s="249"/>
      <c r="J56" s="4"/>
    </row>
    <row r="57" spans="1:15" s="30" customFormat="1" ht="15.75" customHeight="1" thickBot="1" x14ac:dyDescent="0.3">
      <c r="A57" s="131" t="s">
        <v>14</v>
      </c>
      <c r="B57" s="132" t="s">
        <v>15</v>
      </c>
      <c r="C57" s="132" t="s">
        <v>16</v>
      </c>
      <c r="D57" s="133" t="s">
        <v>460</v>
      </c>
      <c r="E57" s="244" t="s">
        <v>17</v>
      </c>
      <c r="J57" s="4"/>
    </row>
    <row r="58" spans="1:15" s="30" customFormat="1" ht="15.75" customHeight="1" x14ac:dyDescent="0.25">
      <c r="A58" s="128">
        <v>2000</v>
      </c>
      <c r="B58" s="129" t="s">
        <v>162</v>
      </c>
      <c r="C58" s="130" t="s">
        <v>163</v>
      </c>
      <c r="D58" s="250">
        <v>17000</v>
      </c>
      <c r="E58" s="253">
        <v>5</v>
      </c>
      <c r="J58" s="3"/>
    </row>
    <row r="59" spans="1:15" x14ac:dyDescent="0.25">
      <c r="A59" s="128">
        <v>4000</v>
      </c>
      <c r="B59" s="129" t="s">
        <v>162</v>
      </c>
      <c r="C59" s="130" t="s">
        <v>163</v>
      </c>
      <c r="D59" s="250">
        <v>18000</v>
      </c>
      <c r="E59" s="254">
        <v>5</v>
      </c>
      <c r="J59" s="32"/>
    </row>
    <row r="60" spans="1:15" x14ac:dyDescent="0.25">
      <c r="A60" s="128"/>
      <c r="B60" s="129"/>
      <c r="C60" s="130"/>
      <c r="D60" s="250"/>
      <c r="E60" s="254"/>
      <c r="J60" s="32"/>
    </row>
    <row r="61" spans="1:15" x14ac:dyDescent="0.25">
      <c r="A61" s="128"/>
      <c r="B61" s="129"/>
      <c r="C61" s="130"/>
      <c r="D61" s="250"/>
      <c r="E61" s="254"/>
      <c r="J61" s="32"/>
    </row>
    <row r="62" spans="1:15" s="30" customFormat="1" ht="15.75" customHeight="1" x14ac:dyDescent="0.25">
      <c r="A62" s="126"/>
      <c r="B62" s="102"/>
      <c r="C62" s="103"/>
      <c r="D62" s="251"/>
      <c r="E62" s="255"/>
      <c r="J62" s="3"/>
    </row>
    <row r="63" spans="1:15" x14ac:dyDescent="0.25">
      <c r="A63" s="127"/>
      <c r="B63" s="102"/>
      <c r="C63" s="103"/>
      <c r="D63" s="251"/>
      <c r="E63" s="255"/>
      <c r="J63" s="32"/>
    </row>
    <row r="64" spans="1:15" x14ac:dyDescent="0.25">
      <c r="A64" s="127"/>
      <c r="B64" s="102"/>
      <c r="C64" s="103"/>
      <c r="D64" s="251"/>
      <c r="E64" s="255"/>
      <c r="J64" s="32"/>
    </row>
    <row r="65" spans="1:10" x14ac:dyDescent="0.25">
      <c r="A65" s="127"/>
      <c r="B65" s="102"/>
      <c r="C65" s="103"/>
      <c r="D65" s="251"/>
      <c r="E65" s="255"/>
      <c r="J65" s="32"/>
    </row>
    <row r="66" spans="1:10" x14ac:dyDescent="0.25">
      <c r="A66" s="127"/>
      <c r="B66" s="102"/>
      <c r="C66" s="103"/>
      <c r="D66" s="251"/>
      <c r="E66" s="255"/>
      <c r="J66" s="32"/>
    </row>
    <row r="67" spans="1:10" ht="16.5" thickBot="1" x14ac:dyDescent="0.3">
      <c r="A67" s="134"/>
      <c r="B67" s="135"/>
      <c r="C67" s="136"/>
      <c r="D67" s="251"/>
      <c r="E67" s="256"/>
      <c r="J67" s="32"/>
    </row>
    <row r="68" spans="1:10" ht="16.5" thickBot="1" x14ac:dyDescent="0.3">
      <c r="A68" s="137"/>
      <c r="B68" s="138"/>
      <c r="C68" s="138" t="s">
        <v>18</v>
      </c>
      <c r="D68" s="252"/>
      <c r="E68" s="257">
        <f>SUM(E58:E67)</f>
        <v>10</v>
      </c>
      <c r="J68" s="32"/>
    </row>
    <row r="70" spans="1:10" ht="16.5" thickBot="1" x14ac:dyDescent="0.3"/>
    <row r="71" spans="1:10" ht="19.5" thickBot="1" x14ac:dyDescent="0.3">
      <c r="A71" s="222" t="s">
        <v>26</v>
      </c>
      <c r="B71" s="223"/>
      <c r="C71" s="224"/>
    </row>
    <row r="72" spans="1:10" x14ac:dyDescent="0.25">
      <c r="A72" s="150"/>
      <c r="B72" s="151" t="s">
        <v>5</v>
      </c>
      <c r="C72" s="152" t="s">
        <v>6</v>
      </c>
    </row>
    <row r="73" spans="1:10" x14ac:dyDescent="0.25">
      <c r="A73" s="73" t="s">
        <v>2</v>
      </c>
      <c r="B73" s="26">
        <v>1</v>
      </c>
      <c r="C73" s="28">
        <v>2</v>
      </c>
    </row>
    <row r="74" spans="1:10" x14ac:dyDescent="0.25">
      <c r="A74" s="72" t="s">
        <v>3</v>
      </c>
      <c r="B74" s="27" t="s">
        <v>8</v>
      </c>
      <c r="C74" s="29"/>
    </row>
    <row r="75" spans="1:10" x14ac:dyDescent="0.25">
      <c r="A75" s="139" t="s">
        <v>52</v>
      </c>
      <c r="B75" s="48">
        <v>2</v>
      </c>
      <c r="C75" s="49"/>
    </row>
    <row r="76" spans="1:10" ht="16.5" thickBot="1" x14ac:dyDescent="0.3">
      <c r="A76" s="153"/>
      <c r="B76" s="39"/>
      <c r="C76" s="40"/>
    </row>
    <row r="77" spans="1:10" ht="16.5" thickBot="1" x14ac:dyDescent="0.3">
      <c r="A77" s="140" t="s">
        <v>4</v>
      </c>
      <c r="B77" s="141"/>
      <c r="C77" s="142"/>
    </row>
    <row r="78" spans="1:10" ht="39.75" thickBot="1" x14ac:dyDescent="0.3">
      <c r="A78" s="139" t="s">
        <v>7</v>
      </c>
      <c r="B78" s="156" t="str">
        <f ca="1">TEXT(NOW(), "yyyy-mm-dd hh:mm")</f>
        <v>2023-08-07 11:07</v>
      </c>
      <c r="C78" s="143" t="s">
        <v>53</v>
      </c>
    </row>
    <row r="79" spans="1:10" ht="16.5" thickBot="1" x14ac:dyDescent="0.3">
      <c r="A79" s="144" t="s">
        <v>86</v>
      </c>
      <c r="B79" s="148" t="s">
        <v>84</v>
      </c>
      <c r="C79" s="145" t="s">
        <v>85</v>
      </c>
    </row>
    <row r="80" spans="1:10" x14ac:dyDescent="0.25">
      <c r="A80" s="191" t="s">
        <v>220</v>
      </c>
      <c r="B80" s="192" t="s">
        <v>222</v>
      </c>
      <c r="C80" s="193" t="s">
        <v>221</v>
      </c>
    </row>
    <row r="81" spans="1:3" x14ac:dyDescent="0.25">
      <c r="A81" s="216" t="s">
        <v>461</v>
      </c>
      <c r="B81" s="217" t="s">
        <v>222</v>
      </c>
      <c r="C81" s="218" t="s">
        <v>462</v>
      </c>
    </row>
    <row r="82" spans="1:3" x14ac:dyDescent="0.25">
      <c r="A82" s="56"/>
      <c r="B82" s="41"/>
      <c r="C82" s="57"/>
    </row>
    <row r="83" spans="1:3" x14ac:dyDescent="0.25">
      <c r="A83" s="56"/>
      <c r="B83" s="41"/>
      <c r="C83" s="57"/>
    </row>
    <row r="84" spans="1:3" x14ac:dyDescent="0.25">
      <c r="A84" s="56"/>
      <c r="B84" s="41"/>
      <c r="C84" s="57"/>
    </row>
    <row r="85" spans="1:3" x14ac:dyDescent="0.25">
      <c r="A85" s="56"/>
      <c r="B85" s="50"/>
      <c r="C85" s="57"/>
    </row>
    <row r="86" spans="1:3" x14ac:dyDescent="0.25">
      <c r="A86" s="50"/>
      <c r="B86" s="50"/>
      <c r="C86" s="51"/>
    </row>
    <row r="87" spans="1:3" x14ac:dyDescent="0.25">
      <c r="A87" s="56"/>
      <c r="B87" s="50"/>
      <c r="C87" s="51"/>
    </row>
    <row r="88" spans="1:3" x14ac:dyDescent="0.25">
      <c r="A88" s="50"/>
      <c r="B88" s="52"/>
      <c r="C88" s="51"/>
    </row>
    <row r="89" spans="1:3" x14ac:dyDescent="0.25">
      <c r="A89" s="52"/>
      <c r="B89" s="50"/>
      <c r="C89" s="51"/>
    </row>
    <row r="90" spans="1:3" x14ac:dyDescent="0.25">
      <c r="A90" s="52"/>
      <c r="B90" s="50"/>
      <c r="C90" s="51"/>
    </row>
    <row r="91" spans="1:3" x14ac:dyDescent="0.25">
      <c r="A91" s="52"/>
      <c r="B91" s="41"/>
      <c r="C91" s="51"/>
    </row>
    <row r="92" spans="1:3" x14ac:dyDescent="0.25">
      <c r="A92" s="52"/>
      <c r="B92" s="50"/>
      <c r="C92" s="51"/>
    </row>
    <row r="93" spans="1:3" ht="16.5" thickBot="1" x14ac:dyDescent="0.3">
      <c r="A93" s="55"/>
      <c r="B93" s="53"/>
      <c r="C93" s="54"/>
    </row>
  </sheetData>
  <mergeCells count="6">
    <mergeCell ref="A50:D50"/>
    <mergeCell ref="A71:C71"/>
    <mergeCell ref="E50:F50"/>
    <mergeCell ref="A14:B14"/>
    <mergeCell ref="A31:B31"/>
    <mergeCell ref="A24:E24"/>
  </mergeCells>
  <dataValidations count="10">
    <dataValidation type="list" allowBlank="1" showInputMessage="1" showErrorMessage="1" sqref="B74">
      <formula1>"Cy Gate Lane,Gate Admin Lane"</formula1>
    </dataValidation>
    <dataValidation type="list" allowBlank="1" showInputMessage="1" showErrorMessage="1" sqref="C58:C67">
      <formula1>"F,E"</formula1>
    </dataValidation>
    <dataValidation allowBlank="1" showErrorMessage="1" promptTitle="ATTENTION!" prompt="_x000a_Booking operator must be associated with the booking number!" sqref="D56"/>
    <dataValidation allowBlank="1" showInputMessage="1" showErrorMessage="1" promptTitle="ATTENTION!" prompt="_x000a_Number of data must not exceed the quantity set in the booking number!" sqref="E58:E61"/>
    <dataValidation type="list" allowBlank="1" showInputMessage="1" showErrorMessage="1" sqref="B91 B80:B84">
      <formula1>"IN,BOTH"</formula1>
    </dataValidation>
    <dataValidation type="list" allowBlank="1" showInputMessage="1" showErrorMessage="1" sqref="B34">
      <formula1>"SCHEDULED,ADHOC"</formula1>
    </dataValidation>
    <dataValidation type="custom" allowBlank="1" showInputMessage="1" showErrorMessage="1" sqref="B56">
      <formula1>FALSE</formula1>
    </dataValidation>
    <dataValidation type="list" allowBlank="1" showInputMessage="1" showErrorMessage="1" sqref="B58:B67">
      <formula1>"EX,ST"</formula1>
    </dataValidation>
    <dataValidation type="list" allowBlank="1" showInputMessage="1" showErrorMessage="1" sqref="B35">
      <formula1>"DOMESTIC,INTERNATIONAL,LIGHTER"</formula1>
    </dataValidation>
    <dataValidation allowBlank="1" showErrorMessage="1" promptTitle="ATTENTION!" prompt="_x000a_Number of data must not exceed the quantity set in the booking number!" sqref="D58:D67"/>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8" r:id="rId4" name="ComboBox2">
          <controlPr defaultSize="0" autoLine="0" r:id="rId5">
            <anchor moveWithCells="1">
              <from>
                <xdr:col>1</xdr:col>
                <xdr:colOff>114300</xdr:colOff>
                <xdr:row>1</xdr:row>
                <xdr:rowOff>123825</xdr:rowOff>
              </from>
              <to>
                <xdr:col>1</xdr:col>
                <xdr:colOff>2362200</xdr:colOff>
                <xdr:row>1</xdr:row>
                <xdr:rowOff>400050</xdr:rowOff>
              </to>
            </anchor>
          </controlPr>
        </control>
      </mc:Choice>
      <mc:Fallback>
        <control shapeId="1038" r:id="rId4" name="ComboBox2"/>
      </mc:Fallback>
    </mc:AlternateContent>
    <mc:AlternateContent xmlns:mc="http://schemas.openxmlformats.org/markup-compatibility/2006">
      <mc:Choice Requires="x14">
        <control shapeId="1037" r:id="rId6" name="ComboBox1">
          <controlPr defaultSize="0" autoLine="0" autoPict="0" r:id="rId7">
            <anchor moveWithCells="1">
              <from>
                <xdr:col>1</xdr:col>
                <xdr:colOff>85725</xdr:colOff>
                <xdr:row>0</xdr:row>
                <xdr:rowOff>76200</xdr:rowOff>
              </from>
              <to>
                <xdr:col>1</xdr:col>
                <xdr:colOff>2305050</xdr:colOff>
                <xdr:row>0</xdr:row>
                <xdr:rowOff>438150</xdr:rowOff>
              </to>
            </anchor>
          </controlPr>
        </control>
      </mc:Choice>
      <mc:Fallback>
        <control shapeId="1037" r:id="rId6" name="ComboBox1"/>
      </mc:Fallback>
    </mc:AlternateContent>
    <mc:AlternateContent xmlns:mc="http://schemas.openxmlformats.org/markup-compatibility/2006">
      <mc:Choice Requires="x14">
        <control shapeId="1031" r:id="rId8" name="CommandButton1">
          <controlPr defaultSize="0" autoLine="0" r:id="rId9">
            <anchor moveWithCells="1">
              <from>
                <xdr:col>5</xdr:col>
                <xdr:colOff>57150</xdr:colOff>
                <xdr:row>0</xdr:row>
                <xdr:rowOff>419100</xdr:rowOff>
              </from>
              <to>
                <xdr:col>5</xdr:col>
                <xdr:colOff>752475</xdr:colOff>
                <xdr:row>1</xdr:row>
                <xdr:rowOff>114300</xdr:rowOff>
              </to>
            </anchor>
          </controlPr>
        </control>
      </mc:Choice>
      <mc:Fallback>
        <control shapeId="1031"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7"/>
  <sheetViews>
    <sheetView zoomScale="85" zoomScaleNormal="85" workbookViewId="0">
      <selection activeCell="F11" sqref="F11"/>
    </sheetView>
  </sheetViews>
  <sheetFormatPr defaultRowHeight="15" x14ac:dyDescent="0.25"/>
  <cols>
    <col min="1" max="1" width="12.5703125" style="149" customWidth="1"/>
    <col min="2" max="2" width="13.5703125" style="149" customWidth="1"/>
    <col min="3" max="3" width="10.28515625" style="149" customWidth="1"/>
    <col min="4" max="5" width="9.140625" style="149"/>
    <col min="6" max="6" width="10.5703125" style="149" customWidth="1"/>
    <col min="7" max="7" width="11.7109375" style="149" customWidth="1"/>
    <col min="8" max="8" width="10.28515625" style="149" customWidth="1"/>
    <col min="9" max="10" width="9.140625" style="149"/>
    <col min="11" max="11" width="10.5703125" style="149" customWidth="1"/>
    <col min="12" max="12" width="11.7109375" style="149" customWidth="1"/>
    <col min="13" max="13" width="9.140625" style="149"/>
    <col min="14" max="14" width="13.85546875" style="149" customWidth="1"/>
    <col min="15" max="17" width="9.140625" style="149"/>
    <col min="18" max="18" width="18.7109375" style="149" customWidth="1"/>
    <col min="19" max="19" width="9.140625" style="149"/>
    <col min="20" max="20" width="17.140625" style="149" customWidth="1"/>
    <col min="21" max="21" width="16.85546875" style="149" customWidth="1"/>
    <col min="22" max="22" width="19.28515625" style="149" customWidth="1"/>
    <col min="23" max="16384" width="9.140625" style="149"/>
  </cols>
  <sheetData>
    <row r="1" spans="1:22" ht="19.5" thickBot="1" x14ac:dyDescent="0.35">
      <c r="A1" s="158" t="s">
        <v>170</v>
      </c>
      <c r="B1" s="232" t="s">
        <v>63</v>
      </c>
      <c r="C1" s="233"/>
      <c r="D1" s="233"/>
      <c r="E1" s="233"/>
      <c r="F1" s="233"/>
      <c r="G1" s="234"/>
      <c r="H1" s="199"/>
      <c r="I1" s="199"/>
      <c r="J1" s="199"/>
      <c r="K1" s="199"/>
      <c r="L1" s="199"/>
      <c r="M1" s="232" t="s">
        <v>171</v>
      </c>
      <c r="N1" s="232"/>
      <c r="O1" s="232"/>
      <c r="P1" s="232"/>
      <c r="Q1" s="235"/>
      <c r="R1" s="236" t="s">
        <v>172</v>
      </c>
      <c r="S1" s="232"/>
      <c r="T1" s="232"/>
      <c r="U1" s="232"/>
      <c r="V1" s="237"/>
    </row>
    <row r="2" spans="1:22" ht="32.25" thickBot="1" x14ac:dyDescent="0.3">
      <c r="A2" s="159"/>
      <c r="B2" s="200" t="s">
        <v>62</v>
      </c>
      <c r="C2" s="205" t="s">
        <v>64</v>
      </c>
      <c r="D2" s="206" t="s">
        <v>65</v>
      </c>
      <c r="E2" s="206" t="s">
        <v>218</v>
      </c>
      <c r="F2" s="206" t="s">
        <v>66</v>
      </c>
      <c r="G2" s="207" t="s">
        <v>67</v>
      </c>
      <c r="H2" s="160" t="s">
        <v>64</v>
      </c>
      <c r="I2" s="161" t="s">
        <v>65</v>
      </c>
      <c r="J2" s="161" t="s">
        <v>219</v>
      </c>
      <c r="K2" s="161" t="s">
        <v>66</v>
      </c>
      <c r="L2" s="162" t="s">
        <v>67</v>
      </c>
      <c r="M2" s="163" t="s">
        <v>105</v>
      </c>
      <c r="N2" s="164" t="s">
        <v>106</v>
      </c>
      <c r="O2" s="164" t="s">
        <v>107</v>
      </c>
      <c r="P2" s="164" t="s">
        <v>108</v>
      </c>
      <c r="Q2" s="165" t="s">
        <v>109</v>
      </c>
      <c r="R2" s="166" t="s">
        <v>173</v>
      </c>
      <c r="S2" s="167" t="s">
        <v>174</v>
      </c>
      <c r="T2" s="167" t="s">
        <v>175</v>
      </c>
      <c r="U2" s="167" t="s">
        <v>176</v>
      </c>
      <c r="V2" s="168" t="s">
        <v>177</v>
      </c>
    </row>
    <row r="3" spans="1:22" ht="60" x14ac:dyDescent="0.25">
      <c r="A3" s="169" t="s">
        <v>178</v>
      </c>
      <c r="B3" s="201" t="s">
        <v>68</v>
      </c>
      <c r="C3" s="208" t="s">
        <v>69</v>
      </c>
      <c r="D3" s="170">
        <v>7786</v>
      </c>
      <c r="E3" s="170" t="s">
        <v>70</v>
      </c>
      <c r="F3" s="170" t="s">
        <v>71</v>
      </c>
      <c r="G3" s="209" t="s">
        <v>72</v>
      </c>
      <c r="H3" s="203" t="s">
        <v>69</v>
      </c>
      <c r="I3" s="170">
        <v>7786</v>
      </c>
      <c r="J3" s="170" t="s">
        <v>70</v>
      </c>
      <c r="K3" s="170" t="s">
        <v>216</v>
      </c>
      <c r="L3" s="171" t="s">
        <v>72</v>
      </c>
      <c r="M3" s="172" t="s">
        <v>76</v>
      </c>
      <c r="N3" s="173" t="s">
        <v>75</v>
      </c>
      <c r="O3" s="173" t="s">
        <v>77</v>
      </c>
      <c r="P3" s="173" t="s">
        <v>78</v>
      </c>
      <c r="Q3" s="174" t="s">
        <v>79</v>
      </c>
      <c r="R3" s="175" t="s">
        <v>76</v>
      </c>
      <c r="S3" s="176" t="s">
        <v>179</v>
      </c>
      <c r="T3" s="177" t="s">
        <v>180</v>
      </c>
      <c r="U3" s="177" t="s">
        <v>181</v>
      </c>
      <c r="V3" s="178" t="s">
        <v>182</v>
      </c>
    </row>
    <row r="4" spans="1:22" ht="60.75" thickBot="1" x14ac:dyDescent="0.3">
      <c r="A4" s="179" t="s">
        <v>183</v>
      </c>
      <c r="B4" s="202" t="s">
        <v>68</v>
      </c>
      <c r="C4" s="210" t="s">
        <v>184</v>
      </c>
      <c r="D4" s="211">
        <v>5432</v>
      </c>
      <c r="E4" s="211" t="s">
        <v>185</v>
      </c>
      <c r="F4" s="211" t="s">
        <v>186</v>
      </c>
      <c r="G4" s="212" t="s">
        <v>78</v>
      </c>
      <c r="H4" s="204" t="s">
        <v>184</v>
      </c>
      <c r="I4" s="180">
        <v>5432</v>
      </c>
      <c r="J4" s="180" t="s">
        <v>185</v>
      </c>
      <c r="K4" s="180" t="s">
        <v>217</v>
      </c>
      <c r="L4" s="181" t="s">
        <v>72</v>
      </c>
      <c r="M4" s="182" t="s">
        <v>187</v>
      </c>
      <c r="N4" s="183" t="s">
        <v>188</v>
      </c>
      <c r="O4" s="183" t="s">
        <v>77</v>
      </c>
      <c r="P4" s="184" t="s">
        <v>189</v>
      </c>
      <c r="Q4" s="185" t="s">
        <v>79</v>
      </c>
      <c r="R4" s="186" t="s">
        <v>187</v>
      </c>
      <c r="S4" s="187" t="s">
        <v>190</v>
      </c>
      <c r="T4" s="188" t="s">
        <v>191</v>
      </c>
      <c r="U4" s="188" t="s">
        <v>192</v>
      </c>
      <c r="V4" s="189" t="s">
        <v>193</v>
      </c>
    </row>
    <row r="7" spans="1:22" x14ac:dyDescent="0.25">
      <c r="Q7" s="190"/>
    </row>
  </sheetData>
  <mergeCells count="3">
    <mergeCell ref="B1:G1"/>
    <mergeCell ref="M1:Q1"/>
    <mergeCell ref="R1:V1"/>
  </mergeCells>
  <hyperlinks>
    <hyperlink ref="T3" r:id="rId1"/>
    <hyperlink ref="U3" r:id="rId2"/>
    <hyperlink ref="V3" r:id="rId3"/>
    <hyperlink ref="V4" r:id="rId4"/>
    <hyperlink ref="U4" r:id="rId5"/>
    <hyperlink ref="T4" r:id="rId6"/>
    <hyperlink ref="P4" r:id="rId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79"/>
  <sheetViews>
    <sheetView workbookViewId="0">
      <selection activeCell="A2" sqref="A2:XFD71"/>
    </sheetView>
  </sheetViews>
  <sheetFormatPr defaultRowHeight="15" x14ac:dyDescent="0.25"/>
  <cols>
    <col min="1" max="1" width="14.5703125" style="14" customWidth="1"/>
    <col min="2" max="7" width="9.140625" style="149"/>
    <col min="8" max="9" width="9.140625" style="149" customWidth="1"/>
    <col min="10" max="16384" width="9.140625" style="149"/>
  </cols>
  <sheetData>
    <row r="1" spans="1:43" ht="45" x14ac:dyDescent="0.25">
      <c r="A1" s="154" t="s">
        <v>119</v>
      </c>
      <c r="B1" s="155" t="s">
        <v>120</v>
      </c>
      <c r="C1" s="155" t="s">
        <v>121</v>
      </c>
      <c r="D1" s="155" t="s">
        <v>122</v>
      </c>
      <c r="E1" s="155" t="s">
        <v>123</v>
      </c>
      <c r="F1" s="155" t="s">
        <v>124</v>
      </c>
      <c r="G1" s="155" t="s">
        <v>125</v>
      </c>
      <c r="H1" s="155" t="s">
        <v>126</v>
      </c>
      <c r="I1" s="155" t="s">
        <v>127</v>
      </c>
      <c r="J1" s="155" t="s">
        <v>128</v>
      </c>
      <c r="K1" s="155" t="s">
        <v>129</v>
      </c>
      <c r="L1" s="155" t="s">
        <v>130</v>
      </c>
      <c r="M1" s="155" t="s">
        <v>131</v>
      </c>
      <c r="N1" s="155" t="s">
        <v>132</v>
      </c>
      <c r="O1" s="155" t="s">
        <v>133</v>
      </c>
      <c r="P1" s="155" t="s">
        <v>134</v>
      </c>
      <c r="Q1" s="155" t="s">
        <v>135</v>
      </c>
      <c r="R1" s="155" t="s">
        <v>136</v>
      </c>
      <c r="S1" s="155" t="s">
        <v>137</v>
      </c>
      <c r="T1" s="155" t="s">
        <v>138</v>
      </c>
      <c r="U1" s="155" t="s">
        <v>139</v>
      </c>
      <c r="V1" s="155" t="s">
        <v>140</v>
      </c>
      <c r="W1" s="155" t="s">
        <v>141</v>
      </c>
      <c r="X1" s="155" t="s">
        <v>142</v>
      </c>
      <c r="Y1" s="155" t="s">
        <v>143</v>
      </c>
      <c r="Z1" s="155" t="s">
        <v>144</v>
      </c>
      <c r="AA1" s="155" t="s">
        <v>145</v>
      </c>
      <c r="AB1" s="155" t="s">
        <v>146</v>
      </c>
      <c r="AC1" s="155" t="s">
        <v>147</v>
      </c>
      <c r="AD1" s="155" t="s">
        <v>148</v>
      </c>
      <c r="AE1" s="155" t="s">
        <v>149</v>
      </c>
      <c r="AF1" s="155" t="s">
        <v>150</v>
      </c>
      <c r="AG1" s="155" t="s">
        <v>151</v>
      </c>
      <c r="AH1" s="155" t="s">
        <v>152</v>
      </c>
      <c r="AI1" s="155" t="s">
        <v>153</v>
      </c>
      <c r="AJ1" s="155" t="s">
        <v>154</v>
      </c>
      <c r="AK1" s="155" t="s">
        <v>155</v>
      </c>
      <c r="AL1" s="155" t="s">
        <v>156</v>
      </c>
      <c r="AM1" s="155" t="s">
        <v>157</v>
      </c>
      <c r="AN1" s="155" t="s">
        <v>158</v>
      </c>
      <c r="AO1" s="155" t="s">
        <v>159</v>
      </c>
      <c r="AP1" s="155" t="s">
        <v>160</v>
      </c>
      <c r="AQ1" s="155" t="s">
        <v>161</v>
      </c>
    </row>
    <row r="2" spans="1:43" ht="45" x14ac:dyDescent="0.25">
      <c r="A2" s="14" t="s">
        <v>503</v>
      </c>
      <c r="B2" s="15" t="s">
        <v>468</v>
      </c>
      <c r="C2" s="10" t="s">
        <v>473</v>
      </c>
      <c r="D2" s="10" t="s">
        <v>473</v>
      </c>
      <c r="E2" s="149" t="s">
        <v>168</v>
      </c>
      <c r="F2" s="149" t="s">
        <v>523</v>
      </c>
      <c r="G2" s="149" t="s">
        <v>524</v>
      </c>
      <c r="H2" s="149" t="s">
        <v>164</v>
      </c>
      <c r="I2" s="149" t="s">
        <v>165</v>
      </c>
      <c r="J2" s="149" t="s">
        <v>472</v>
      </c>
      <c r="K2" s="149" t="s">
        <v>61</v>
      </c>
      <c r="L2" s="149" t="s">
        <v>495</v>
      </c>
      <c r="M2" s="149">
        <v>2000</v>
      </c>
      <c r="N2" s="149" t="s">
        <v>61</v>
      </c>
      <c r="O2" s="149" t="s">
        <v>169</v>
      </c>
      <c r="P2" s="149" t="s">
        <v>435</v>
      </c>
    </row>
    <row r="3" spans="1:43" ht="45" x14ac:dyDescent="0.25">
      <c r="A3" s="14" t="s">
        <v>504</v>
      </c>
      <c r="B3" s="15" t="s">
        <v>468</v>
      </c>
      <c r="C3" s="17" t="s">
        <v>474</v>
      </c>
      <c r="D3" s="17" t="s">
        <v>474</v>
      </c>
      <c r="E3" s="149" t="s">
        <v>168</v>
      </c>
      <c r="F3" s="149" t="s">
        <v>523</v>
      </c>
      <c r="G3" s="149" t="s">
        <v>524</v>
      </c>
      <c r="Z3" s="149" t="s">
        <v>166</v>
      </c>
      <c r="AA3" s="149" t="s">
        <v>167</v>
      </c>
      <c r="AD3" s="149" t="s">
        <v>289</v>
      </c>
      <c r="AE3" s="149">
        <v>2000</v>
      </c>
      <c r="AF3" s="149" t="s">
        <v>61</v>
      </c>
      <c r="AG3" s="149" t="s">
        <v>169</v>
      </c>
      <c r="AH3" s="149" t="s">
        <v>436</v>
      </c>
    </row>
    <row r="4" spans="1:43" ht="45" x14ac:dyDescent="0.25">
      <c r="A4" s="14" t="s">
        <v>505</v>
      </c>
      <c r="B4" s="15" t="s">
        <v>468</v>
      </c>
      <c r="C4" s="17" t="s">
        <v>475</v>
      </c>
      <c r="D4" s="17" t="s">
        <v>475</v>
      </c>
      <c r="E4" s="149" t="s">
        <v>168</v>
      </c>
      <c r="F4" s="149" t="s">
        <v>523</v>
      </c>
      <c r="G4" s="149" t="s">
        <v>524</v>
      </c>
      <c r="AI4" s="149" t="s">
        <v>166</v>
      </c>
      <c r="AJ4" s="149" t="s">
        <v>167</v>
      </c>
      <c r="AM4" s="149" t="s">
        <v>314</v>
      </c>
      <c r="AN4" s="149">
        <v>2000</v>
      </c>
      <c r="AO4" s="149" t="s">
        <v>61</v>
      </c>
      <c r="AP4" s="149" t="s">
        <v>169</v>
      </c>
      <c r="AQ4" s="149" t="s">
        <v>437</v>
      </c>
    </row>
    <row r="5" spans="1:43" ht="45" x14ac:dyDescent="0.25">
      <c r="A5" s="14" t="s">
        <v>506</v>
      </c>
      <c r="B5" s="15" t="s">
        <v>468</v>
      </c>
      <c r="C5" s="17" t="s">
        <v>476</v>
      </c>
      <c r="D5" s="17" t="s">
        <v>476</v>
      </c>
      <c r="E5" s="149" t="s">
        <v>168</v>
      </c>
      <c r="F5" s="149" t="s">
        <v>523</v>
      </c>
      <c r="G5" s="149" t="s">
        <v>524</v>
      </c>
      <c r="H5" s="149" t="s">
        <v>164</v>
      </c>
      <c r="I5" s="149" t="s">
        <v>165</v>
      </c>
      <c r="J5" s="149" t="s">
        <v>472</v>
      </c>
      <c r="K5" s="149" t="s">
        <v>61</v>
      </c>
      <c r="L5" s="149" t="s">
        <v>493</v>
      </c>
      <c r="M5" s="149">
        <v>2000</v>
      </c>
      <c r="N5" s="149" t="s">
        <v>61</v>
      </c>
      <c r="O5" s="149" t="s">
        <v>169</v>
      </c>
      <c r="P5" s="149" t="s">
        <v>440</v>
      </c>
    </row>
    <row r="6" spans="1:43" ht="45" x14ac:dyDescent="0.25">
      <c r="A6" s="14" t="s">
        <v>507</v>
      </c>
      <c r="B6" s="15" t="s">
        <v>468</v>
      </c>
      <c r="C6" s="17" t="s">
        <v>477</v>
      </c>
      <c r="D6" s="17" t="s">
        <v>477</v>
      </c>
      <c r="E6" s="149" t="s">
        <v>168</v>
      </c>
      <c r="F6" s="149" t="s">
        <v>523</v>
      </c>
      <c r="G6" s="149" t="s">
        <v>524</v>
      </c>
      <c r="H6" s="149" t="s">
        <v>164</v>
      </c>
      <c r="I6" s="149" t="s">
        <v>165</v>
      </c>
      <c r="J6" s="149" t="s">
        <v>472</v>
      </c>
      <c r="K6" s="149" t="s">
        <v>61</v>
      </c>
      <c r="L6" s="149" t="s">
        <v>498</v>
      </c>
      <c r="M6" s="149">
        <v>4000</v>
      </c>
      <c r="N6" s="149" t="s">
        <v>61</v>
      </c>
      <c r="O6" s="149" t="s">
        <v>169</v>
      </c>
      <c r="P6" s="149" t="s">
        <v>443</v>
      </c>
      <c r="AI6" s="149" t="s">
        <v>166</v>
      </c>
      <c r="AJ6" s="149" t="s">
        <v>167</v>
      </c>
      <c r="AM6" s="149" t="s">
        <v>298</v>
      </c>
      <c r="AN6" s="149">
        <v>2000</v>
      </c>
      <c r="AO6" s="149" t="s">
        <v>61</v>
      </c>
      <c r="AP6" s="149" t="s">
        <v>169</v>
      </c>
      <c r="AQ6" s="149" t="s">
        <v>438</v>
      </c>
    </row>
    <row r="7" spans="1:43" ht="45" x14ac:dyDescent="0.25">
      <c r="A7" s="14" t="s">
        <v>508</v>
      </c>
      <c r="B7" s="15" t="s">
        <v>468</v>
      </c>
      <c r="C7" s="17" t="s">
        <v>478</v>
      </c>
      <c r="D7" s="17" t="s">
        <v>478</v>
      </c>
      <c r="E7" s="149" t="s">
        <v>168</v>
      </c>
      <c r="F7" s="149" t="s">
        <v>523</v>
      </c>
      <c r="G7" s="149" t="s">
        <v>524</v>
      </c>
      <c r="AI7" s="149" t="s">
        <v>166</v>
      </c>
      <c r="AJ7" s="149" t="s">
        <v>167</v>
      </c>
      <c r="AM7" s="149" t="s">
        <v>233</v>
      </c>
      <c r="AN7" s="149">
        <v>2000</v>
      </c>
      <c r="AO7" s="149" t="s">
        <v>61</v>
      </c>
      <c r="AP7" s="149" t="s">
        <v>169</v>
      </c>
      <c r="AQ7" s="149" t="s">
        <v>439</v>
      </c>
    </row>
    <row r="8" spans="1:43" ht="45" x14ac:dyDescent="0.25">
      <c r="A8" s="14" t="s">
        <v>509</v>
      </c>
      <c r="B8" s="15" t="s">
        <v>468</v>
      </c>
      <c r="C8" s="17" t="s">
        <v>479</v>
      </c>
      <c r="D8" s="17" t="s">
        <v>479</v>
      </c>
      <c r="E8" s="149" t="s">
        <v>168</v>
      </c>
      <c r="F8" s="149" t="s">
        <v>523</v>
      </c>
      <c r="G8" s="149" t="s">
        <v>524</v>
      </c>
      <c r="Z8" s="149" t="s">
        <v>166</v>
      </c>
      <c r="AA8" s="149" t="s">
        <v>167</v>
      </c>
      <c r="AD8" s="149" t="s">
        <v>316</v>
      </c>
      <c r="AE8" s="149">
        <v>2000</v>
      </c>
      <c r="AF8" s="149" t="s">
        <v>61</v>
      </c>
      <c r="AG8" s="149" t="s">
        <v>169</v>
      </c>
      <c r="AH8" s="149" t="s">
        <v>442</v>
      </c>
      <c r="AI8" s="149" t="s">
        <v>166</v>
      </c>
      <c r="AJ8" s="149" t="s">
        <v>167</v>
      </c>
      <c r="AM8" s="149" t="s">
        <v>234</v>
      </c>
      <c r="AN8" s="149">
        <v>2000</v>
      </c>
      <c r="AO8" s="149" t="s">
        <v>61</v>
      </c>
      <c r="AP8" s="149" t="s">
        <v>169</v>
      </c>
      <c r="AQ8" s="149" t="s">
        <v>441</v>
      </c>
    </row>
    <row r="9" spans="1:43" ht="45" x14ac:dyDescent="0.25">
      <c r="A9" s="14" t="s">
        <v>510</v>
      </c>
      <c r="B9" s="15" t="s">
        <v>468</v>
      </c>
      <c r="C9" s="17" t="s">
        <v>480</v>
      </c>
      <c r="D9" s="17" t="s">
        <v>480</v>
      </c>
      <c r="E9" s="149" t="s">
        <v>168</v>
      </c>
      <c r="F9" s="149" t="s">
        <v>523</v>
      </c>
      <c r="G9" s="149" t="s">
        <v>524</v>
      </c>
      <c r="AI9" s="149" t="s">
        <v>166</v>
      </c>
      <c r="AJ9" s="149" t="s">
        <v>167</v>
      </c>
      <c r="AM9" s="149" t="s">
        <v>359</v>
      </c>
      <c r="AN9" s="149">
        <v>2000</v>
      </c>
      <c r="AO9" s="149" t="s">
        <v>61</v>
      </c>
      <c r="AP9" s="149" t="s">
        <v>169</v>
      </c>
      <c r="AQ9" s="149" t="s">
        <v>446</v>
      </c>
    </row>
    <row r="10" spans="1:43" ht="45" x14ac:dyDescent="0.25">
      <c r="A10" s="14" t="s">
        <v>511</v>
      </c>
      <c r="B10" s="15" t="s">
        <v>468</v>
      </c>
      <c r="C10" s="17" t="s">
        <v>481</v>
      </c>
      <c r="D10" s="17" t="s">
        <v>481</v>
      </c>
      <c r="E10" s="149" t="s">
        <v>168</v>
      </c>
      <c r="F10" s="149" t="s">
        <v>523</v>
      </c>
      <c r="G10" s="149" t="s">
        <v>524</v>
      </c>
      <c r="AI10" s="149" t="s">
        <v>166</v>
      </c>
      <c r="AJ10" s="149" t="s">
        <v>167</v>
      </c>
      <c r="AM10" s="149" t="s">
        <v>345</v>
      </c>
      <c r="AN10" s="149">
        <v>2000</v>
      </c>
      <c r="AO10" s="149" t="s">
        <v>61</v>
      </c>
      <c r="AP10" s="149" t="s">
        <v>169</v>
      </c>
      <c r="AQ10" s="149" t="s">
        <v>450</v>
      </c>
    </row>
    <row r="11" spans="1:43" ht="45" x14ac:dyDescent="0.25">
      <c r="A11" s="14" t="s">
        <v>512</v>
      </c>
      <c r="B11" s="15" t="s">
        <v>468</v>
      </c>
      <c r="C11" s="17" t="s">
        <v>482</v>
      </c>
      <c r="D11" s="17" t="s">
        <v>482</v>
      </c>
      <c r="E11" s="149" t="s">
        <v>168</v>
      </c>
      <c r="F11" s="149" t="s">
        <v>523</v>
      </c>
      <c r="G11" s="149" t="s">
        <v>524</v>
      </c>
      <c r="H11" s="149" t="s">
        <v>164</v>
      </c>
      <c r="I11" s="149" t="s">
        <v>165</v>
      </c>
      <c r="J11" s="149" t="s">
        <v>472</v>
      </c>
      <c r="K11" s="149" t="s">
        <v>61</v>
      </c>
      <c r="L11" s="149" t="s">
        <v>499</v>
      </c>
      <c r="M11" s="149">
        <v>4000</v>
      </c>
      <c r="N11" s="149" t="s">
        <v>61</v>
      </c>
      <c r="O11" s="149" t="s">
        <v>169</v>
      </c>
      <c r="P11" s="149" t="s">
        <v>445</v>
      </c>
      <c r="AI11" s="149" t="s">
        <v>166</v>
      </c>
      <c r="AJ11" s="149" t="s">
        <v>167</v>
      </c>
      <c r="AM11" s="149" t="s">
        <v>315</v>
      </c>
      <c r="AN11" s="149">
        <v>2000</v>
      </c>
      <c r="AO11" s="149" t="s">
        <v>61</v>
      </c>
      <c r="AP11" s="149" t="s">
        <v>169</v>
      </c>
      <c r="AQ11" s="149" t="s">
        <v>451</v>
      </c>
    </row>
    <row r="12" spans="1:43" ht="45" x14ac:dyDescent="0.25">
      <c r="A12" s="14" t="s">
        <v>513</v>
      </c>
      <c r="B12" s="15" t="s">
        <v>468</v>
      </c>
      <c r="C12" s="17" t="s">
        <v>483</v>
      </c>
      <c r="D12" s="17" t="s">
        <v>483</v>
      </c>
      <c r="E12" s="149" t="s">
        <v>168</v>
      </c>
      <c r="F12" s="149" t="s">
        <v>523</v>
      </c>
      <c r="G12" s="149" t="s">
        <v>524</v>
      </c>
      <c r="AI12" s="149" t="s">
        <v>166</v>
      </c>
      <c r="AJ12" s="149" t="s">
        <v>167</v>
      </c>
      <c r="AM12" s="149" t="s">
        <v>225</v>
      </c>
      <c r="AN12" s="149">
        <v>2000</v>
      </c>
      <c r="AO12" s="149" t="s">
        <v>61</v>
      </c>
      <c r="AP12" s="149" t="s">
        <v>169</v>
      </c>
      <c r="AQ12" s="149" t="s">
        <v>457</v>
      </c>
    </row>
    <row r="13" spans="1:43" ht="45" x14ac:dyDescent="0.25">
      <c r="A13" s="14" t="s">
        <v>514</v>
      </c>
      <c r="B13" s="15" t="s">
        <v>468</v>
      </c>
      <c r="C13" s="17" t="s">
        <v>484</v>
      </c>
      <c r="D13" s="17" t="s">
        <v>484</v>
      </c>
      <c r="E13" s="149" t="s">
        <v>168</v>
      </c>
      <c r="F13" s="149" t="s">
        <v>523</v>
      </c>
      <c r="G13" s="149" t="s">
        <v>524</v>
      </c>
      <c r="Z13" s="149" t="s">
        <v>166</v>
      </c>
      <c r="AA13" s="149" t="s">
        <v>167</v>
      </c>
      <c r="AD13" s="149" t="s">
        <v>369</v>
      </c>
      <c r="AE13" s="149">
        <v>2000</v>
      </c>
      <c r="AF13" s="149" t="s">
        <v>61</v>
      </c>
      <c r="AG13" s="149" t="s">
        <v>169</v>
      </c>
      <c r="AH13" s="149" t="s">
        <v>444</v>
      </c>
    </row>
    <row r="14" spans="1:43" ht="45" x14ac:dyDescent="0.25">
      <c r="A14" s="14" t="s">
        <v>515</v>
      </c>
      <c r="B14" s="15" t="s">
        <v>468</v>
      </c>
      <c r="C14" s="17" t="s">
        <v>485</v>
      </c>
      <c r="D14" s="17" t="s">
        <v>485</v>
      </c>
      <c r="E14" s="149" t="s">
        <v>168</v>
      </c>
      <c r="F14" s="149" t="s">
        <v>523</v>
      </c>
      <c r="G14" s="149" t="s">
        <v>524</v>
      </c>
      <c r="AI14" s="149" t="s">
        <v>166</v>
      </c>
      <c r="AJ14" s="149" t="s">
        <v>167</v>
      </c>
      <c r="AM14" s="149" t="s">
        <v>282</v>
      </c>
      <c r="AN14" s="149">
        <v>2000</v>
      </c>
      <c r="AO14" s="149" t="s">
        <v>61</v>
      </c>
      <c r="AP14" s="149" t="s">
        <v>169</v>
      </c>
      <c r="AQ14" s="149" t="s">
        <v>464</v>
      </c>
    </row>
    <row r="15" spans="1:43" ht="45" x14ac:dyDescent="0.25">
      <c r="A15" s="14" t="s">
        <v>516</v>
      </c>
      <c r="B15" s="15" t="s">
        <v>468</v>
      </c>
      <c r="C15" s="17" t="s">
        <v>486</v>
      </c>
      <c r="D15" s="17" t="s">
        <v>486</v>
      </c>
      <c r="E15" s="149" t="s">
        <v>168</v>
      </c>
      <c r="F15" s="149" t="s">
        <v>523</v>
      </c>
      <c r="G15" s="149" t="s">
        <v>524</v>
      </c>
      <c r="AI15" s="149" t="s">
        <v>166</v>
      </c>
      <c r="AJ15" s="149" t="s">
        <v>167</v>
      </c>
      <c r="AM15" s="149" t="s">
        <v>422</v>
      </c>
      <c r="AN15" s="149">
        <v>2000</v>
      </c>
      <c r="AO15" s="149" t="s">
        <v>61</v>
      </c>
      <c r="AP15" s="149" t="s">
        <v>169</v>
      </c>
      <c r="AQ15" s="149" t="s">
        <v>465</v>
      </c>
    </row>
    <row r="16" spans="1:43" ht="45" x14ac:dyDescent="0.25">
      <c r="A16" s="14" t="s">
        <v>517</v>
      </c>
      <c r="B16" s="15" t="s">
        <v>468</v>
      </c>
      <c r="C16" s="17" t="s">
        <v>487</v>
      </c>
      <c r="D16" s="17" t="s">
        <v>487</v>
      </c>
      <c r="E16" s="149" t="s">
        <v>168</v>
      </c>
      <c r="F16" s="149" t="s">
        <v>523</v>
      </c>
      <c r="G16" s="149" t="s">
        <v>524</v>
      </c>
      <c r="Z16" s="149" t="s">
        <v>166</v>
      </c>
      <c r="AA16" s="149" t="s">
        <v>167</v>
      </c>
      <c r="AD16" s="149" t="s">
        <v>413</v>
      </c>
      <c r="AE16" s="149">
        <v>2000</v>
      </c>
      <c r="AF16" s="149" t="s">
        <v>61</v>
      </c>
      <c r="AG16" s="149" t="s">
        <v>169</v>
      </c>
      <c r="AH16" s="149" t="s">
        <v>449</v>
      </c>
    </row>
    <row r="17" spans="1:43" ht="45" x14ac:dyDescent="0.25">
      <c r="A17" s="14" t="s">
        <v>518</v>
      </c>
      <c r="B17" s="15" t="s">
        <v>468</v>
      </c>
      <c r="C17" s="17" t="s">
        <v>488</v>
      </c>
      <c r="D17" s="17" t="s">
        <v>488</v>
      </c>
      <c r="E17" s="149" t="s">
        <v>168</v>
      </c>
      <c r="F17" s="149" t="s">
        <v>523</v>
      </c>
      <c r="G17" s="149" t="s">
        <v>524</v>
      </c>
      <c r="H17" s="149" t="s">
        <v>164</v>
      </c>
      <c r="I17" s="149" t="s">
        <v>165</v>
      </c>
      <c r="J17" s="149" t="s">
        <v>472</v>
      </c>
      <c r="K17" s="149" t="s">
        <v>61</v>
      </c>
      <c r="L17" s="149" t="s">
        <v>502</v>
      </c>
      <c r="M17" s="149">
        <v>4000</v>
      </c>
      <c r="N17" s="149" t="s">
        <v>61</v>
      </c>
      <c r="O17" s="149" t="s">
        <v>169</v>
      </c>
      <c r="P17" s="149" t="s">
        <v>447</v>
      </c>
      <c r="Z17" s="149" t="s">
        <v>166</v>
      </c>
      <c r="AA17" s="149" t="s">
        <v>167</v>
      </c>
      <c r="AD17" s="149" t="s">
        <v>254</v>
      </c>
      <c r="AE17" s="149">
        <v>2000</v>
      </c>
      <c r="AF17" s="149" t="s">
        <v>61</v>
      </c>
      <c r="AG17" s="149" t="s">
        <v>169</v>
      </c>
      <c r="AH17" s="149" t="s">
        <v>453</v>
      </c>
    </row>
    <row r="18" spans="1:43" ht="45" x14ac:dyDescent="0.25">
      <c r="A18" s="14" t="s">
        <v>519</v>
      </c>
      <c r="B18" s="15" t="s">
        <v>468</v>
      </c>
      <c r="C18" s="17" t="s">
        <v>489</v>
      </c>
      <c r="D18" s="17" t="s">
        <v>489</v>
      </c>
      <c r="E18" s="149" t="s">
        <v>168</v>
      </c>
      <c r="F18" s="149" t="s">
        <v>523</v>
      </c>
      <c r="G18" s="149" t="s">
        <v>524</v>
      </c>
      <c r="H18" s="149" t="s">
        <v>164</v>
      </c>
      <c r="I18" s="149" t="s">
        <v>165</v>
      </c>
      <c r="J18" s="149" t="s">
        <v>472</v>
      </c>
      <c r="K18" s="149" t="s">
        <v>61</v>
      </c>
      <c r="L18" s="149" t="s">
        <v>494</v>
      </c>
      <c r="M18" s="149">
        <v>2000</v>
      </c>
      <c r="N18" s="149" t="s">
        <v>61</v>
      </c>
      <c r="O18" s="149" t="s">
        <v>169</v>
      </c>
      <c r="P18" s="149" t="s">
        <v>448</v>
      </c>
      <c r="Z18" s="149" t="s">
        <v>166</v>
      </c>
      <c r="AA18" s="149" t="s">
        <v>167</v>
      </c>
      <c r="AD18" s="149" t="s">
        <v>378</v>
      </c>
      <c r="AE18" s="149">
        <v>2000</v>
      </c>
      <c r="AF18" s="149" t="s">
        <v>61</v>
      </c>
      <c r="AG18" s="149" t="s">
        <v>169</v>
      </c>
      <c r="AH18" s="149" t="s">
        <v>454</v>
      </c>
    </row>
    <row r="19" spans="1:43" ht="45" x14ac:dyDescent="0.25">
      <c r="A19" s="14" t="s">
        <v>520</v>
      </c>
      <c r="B19" s="15" t="s">
        <v>468</v>
      </c>
      <c r="C19" s="17" t="s">
        <v>490</v>
      </c>
      <c r="D19" s="17" t="s">
        <v>490</v>
      </c>
      <c r="E19" s="149" t="s">
        <v>168</v>
      </c>
      <c r="F19" s="149" t="s">
        <v>523</v>
      </c>
      <c r="G19" s="149" t="s">
        <v>524</v>
      </c>
      <c r="Z19" s="149" t="s">
        <v>166</v>
      </c>
      <c r="AA19" s="149" t="s">
        <v>167</v>
      </c>
      <c r="AD19" s="149" t="s">
        <v>263</v>
      </c>
      <c r="AE19" s="149">
        <v>2000</v>
      </c>
      <c r="AF19" s="149" t="s">
        <v>61</v>
      </c>
      <c r="AG19" s="149" t="s">
        <v>169</v>
      </c>
      <c r="AH19" s="149" t="s">
        <v>455</v>
      </c>
      <c r="AI19" s="149" t="s">
        <v>166</v>
      </c>
      <c r="AJ19" s="149" t="s">
        <v>167</v>
      </c>
      <c r="AM19" s="149" t="s">
        <v>304</v>
      </c>
      <c r="AN19" s="149">
        <v>2000</v>
      </c>
      <c r="AO19" s="149" t="s">
        <v>61</v>
      </c>
      <c r="AP19" s="149" t="s">
        <v>169</v>
      </c>
      <c r="AQ19" s="149" t="s">
        <v>466</v>
      </c>
    </row>
    <row r="20" spans="1:43" ht="45" x14ac:dyDescent="0.25">
      <c r="A20" s="14" t="s">
        <v>521</v>
      </c>
      <c r="B20" s="15" t="s">
        <v>468</v>
      </c>
      <c r="C20" s="17" t="s">
        <v>491</v>
      </c>
      <c r="D20" s="17" t="s">
        <v>491</v>
      </c>
      <c r="E20" s="149" t="s">
        <v>168</v>
      </c>
      <c r="F20" s="149" t="s">
        <v>523</v>
      </c>
      <c r="G20" s="149" t="s">
        <v>524</v>
      </c>
      <c r="H20" s="149" t="s">
        <v>164</v>
      </c>
      <c r="I20" s="149" t="s">
        <v>165</v>
      </c>
      <c r="J20" s="149" t="s">
        <v>472</v>
      </c>
      <c r="K20" s="149" t="s">
        <v>61</v>
      </c>
      <c r="L20" s="149" t="s">
        <v>501</v>
      </c>
      <c r="M20" s="149">
        <v>4000</v>
      </c>
      <c r="N20" s="149" t="s">
        <v>61</v>
      </c>
      <c r="O20" s="149" t="s">
        <v>169</v>
      </c>
      <c r="P20" s="149" t="s">
        <v>452</v>
      </c>
      <c r="AI20" s="149" t="s">
        <v>166</v>
      </c>
      <c r="AJ20" s="149" t="s">
        <v>167</v>
      </c>
      <c r="AM20" s="149" t="s">
        <v>274</v>
      </c>
      <c r="AN20" s="149">
        <v>2000</v>
      </c>
      <c r="AO20" s="149" t="s">
        <v>61</v>
      </c>
      <c r="AP20" s="149" t="s">
        <v>169</v>
      </c>
      <c r="AQ20" s="149" t="s">
        <v>467</v>
      </c>
    </row>
    <row r="21" spans="1:43" ht="45" x14ac:dyDescent="0.25">
      <c r="A21" s="14" t="s">
        <v>522</v>
      </c>
      <c r="B21" s="15" t="s">
        <v>468</v>
      </c>
      <c r="C21" s="17" t="s">
        <v>492</v>
      </c>
      <c r="D21" s="17" t="s">
        <v>492</v>
      </c>
      <c r="E21" s="149" t="s">
        <v>168</v>
      </c>
      <c r="F21" s="149" t="s">
        <v>523</v>
      </c>
      <c r="G21" s="149" t="s">
        <v>524</v>
      </c>
      <c r="H21" s="149" t="s">
        <v>164</v>
      </c>
      <c r="I21" s="149" t="s">
        <v>165</v>
      </c>
      <c r="J21" s="149" t="s">
        <v>472</v>
      </c>
      <c r="K21" s="149" t="s">
        <v>61</v>
      </c>
      <c r="L21" s="149" t="s">
        <v>497</v>
      </c>
      <c r="M21" s="149">
        <v>2000</v>
      </c>
      <c r="N21" s="149" t="s">
        <v>61</v>
      </c>
      <c r="O21" s="149" t="s">
        <v>169</v>
      </c>
      <c r="P21" s="149" t="s">
        <v>463</v>
      </c>
      <c r="Z21" s="149" t="s">
        <v>166</v>
      </c>
      <c r="AA21" s="149" t="s">
        <v>167</v>
      </c>
      <c r="AD21" s="149" t="s">
        <v>259</v>
      </c>
      <c r="AE21" s="149">
        <v>2000</v>
      </c>
      <c r="AF21" s="149" t="s">
        <v>61</v>
      </c>
      <c r="AG21" s="149" t="s">
        <v>169</v>
      </c>
      <c r="AH21" s="149" t="s">
        <v>456</v>
      </c>
    </row>
    <row r="22" spans="1:43" ht="30" x14ac:dyDescent="0.25">
      <c r="AI22" s="149" t="s">
        <v>166</v>
      </c>
      <c r="AJ22" s="149" t="s">
        <v>167</v>
      </c>
      <c r="AM22" s="149" t="s">
        <v>281</v>
      </c>
      <c r="AN22" s="149">
        <v>2000</v>
      </c>
      <c r="AO22" s="149" t="s">
        <v>61</v>
      </c>
    </row>
    <row r="23" spans="1:43" ht="30" x14ac:dyDescent="0.25">
      <c r="Z23" s="149" t="s">
        <v>166</v>
      </c>
      <c r="AA23" s="149" t="s">
        <v>167</v>
      </c>
      <c r="AD23" s="149" t="s">
        <v>374</v>
      </c>
      <c r="AE23" s="149">
        <v>2000</v>
      </c>
      <c r="AF23" s="149" t="s">
        <v>61</v>
      </c>
    </row>
    <row r="24" spans="1:43" ht="30" x14ac:dyDescent="0.25">
      <c r="Z24" s="149" t="s">
        <v>166</v>
      </c>
      <c r="AA24" s="149" t="s">
        <v>167</v>
      </c>
      <c r="AD24" s="149" t="s">
        <v>319</v>
      </c>
      <c r="AE24" s="149">
        <v>2000</v>
      </c>
      <c r="AF24" s="149" t="s">
        <v>61</v>
      </c>
      <c r="AI24" s="149" t="s">
        <v>166</v>
      </c>
      <c r="AJ24" s="149" t="s">
        <v>167</v>
      </c>
      <c r="AM24" s="149" t="s">
        <v>430</v>
      </c>
      <c r="AN24" s="149">
        <v>2000</v>
      </c>
      <c r="AO24" s="149" t="s">
        <v>61</v>
      </c>
    </row>
    <row r="25" spans="1:43" ht="30" x14ac:dyDescent="0.25">
      <c r="H25" s="149" t="s">
        <v>164</v>
      </c>
      <c r="I25" s="149" t="s">
        <v>165</v>
      </c>
      <c r="J25" s="149" t="s">
        <v>472</v>
      </c>
      <c r="K25" s="149" t="s">
        <v>61</v>
      </c>
      <c r="L25" s="149" t="s">
        <v>500</v>
      </c>
      <c r="M25" s="149">
        <v>4000</v>
      </c>
      <c r="N25" s="149" t="s">
        <v>61</v>
      </c>
    </row>
    <row r="26" spans="1:43" ht="30" x14ac:dyDescent="0.25">
      <c r="Z26" s="149" t="s">
        <v>166</v>
      </c>
      <c r="AA26" s="149" t="s">
        <v>167</v>
      </c>
      <c r="AD26" s="149" t="s">
        <v>339</v>
      </c>
      <c r="AE26" s="149">
        <v>2000</v>
      </c>
      <c r="AF26" s="149" t="s">
        <v>61</v>
      </c>
    </row>
    <row r="27" spans="1:43" ht="30" x14ac:dyDescent="0.25">
      <c r="Z27" s="149" t="s">
        <v>166</v>
      </c>
      <c r="AA27" s="149" t="s">
        <v>167</v>
      </c>
      <c r="AD27" s="149" t="s">
        <v>354</v>
      </c>
      <c r="AE27" s="149">
        <v>2000</v>
      </c>
      <c r="AF27" s="149" t="s">
        <v>61</v>
      </c>
    </row>
    <row r="28" spans="1:43" ht="30" x14ac:dyDescent="0.25">
      <c r="H28" s="149" t="s">
        <v>164</v>
      </c>
      <c r="I28" s="149" t="s">
        <v>165</v>
      </c>
      <c r="J28" s="149" t="s">
        <v>472</v>
      </c>
      <c r="K28" s="149" t="s">
        <v>61</v>
      </c>
      <c r="L28" s="149" t="s">
        <v>496</v>
      </c>
      <c r="M28" s="149">
        <v>2000</v>
      </c>
      <c r="N28" s="149" t="s">
        <v>61</v>
      </c>
    </row>
    <row r="29" spans="1:43" ht="30" x14ac:dyDescent="0.25">
      <c r="AI29" s="149" t="s">
        <v>166</v>
      </c>
      <c r="AJ29" s="149" t="s">
        <v>167</v>
      </c>
      <c r="AM29" s="149" t="s">
        <v>424</v>
      </c>
      <c r="AN29" s="149">
        <v>2000</v>
      </c>
      <c r="AO29" s="149" t="s">
        <v>61</v>
      </c>
    </row>
    <row r="30" spans="1:43" ht="30" x14ac:dyDescent="0.25">
      <c r="AI30" s="149" t="s">
        <v>166</v>
      </c>
      <c r="AJ30" s="149" t="s">
        <v>167</v>
      </c>
      <c r="AM30" s="149" t="s">
        <v>260</v>
      </c>
      <c r="AN30" s="149">
        <v>2000</v>
      </c>
      <c r="AO30" s="149" t="s">
        <v>61</v>
      </c>
    </row>
    <row r="31" spans="1:43" ht="30" x14ac:dyDescent="0.25">
      <c r="Z31" s="149" t="s">
        <v>166</v>
      </c>
      <c r="AA31" s="149" t="s">
        <v>167</v>
      </c>
      <c r="AD31" s="149" t="s">
        <v>409</v>
      </c>
      <c r="AE31" s="149">
        <v>2000</v>
      </c>
      <c r="AF31" s="149" t="s">
        <v>61</v>
      </c>
      <c r="AI31" s="149" t="s">
        <v>166</v>
      </c>
      <c r="AJ31" s="149" t="s">
        <v>167</v>
      </c>
      <c r="AM31" s="149" t="s">
        <v>381</v>
      </c>
      <c r="AN31" s="149">
        <v>2000</v>
      </c>
      <c r="AO31" s="149" t="s">
        <v>61</v>
      </c>
    </row>
    <row r="32" spans="1:43" ht="30" x14ac:dyDescent="0.25">
      <c r="AI32" s="149" t="s">
        <v>166</v>
      </c>
      <c r="AJ32" s="149" t="s">
        <v>167</v>
      </c>
      <c r="AM32" s="149" t="s">
        <v>391</v>
      </c>
      <c r="AN32" s="149">
        <v>2000</v>
      </c>
      <c r="AO32" s="149" t="s">
        <v>61</v>
      </c>
    </row>
    <row r="33" spans="26:41" ht="30" x14ac:dyDescent="0.25">
      <c r="Z33" s="149" t="s">
        <v>166</v>
      </c>
      <c r="AA33" s="149" t="s">
        <v>167</v>
      </c>
      <c r="AD33" s="149" t="s">
        <v>370</v>
      </c>
      <c r="AE33" s="149">
        <v>2000</v>
      </c>
      <c r="AF33" s="149" t="s">
        <v>61</v>
      </c>
    </row>
    <row r="34" spans="26:41" ht="30" x14ac:dyDescent="0.25">
      <c r="AI34" s="149" t="s">
        <v>166</v>
      </c>
      <c r="AJ34" s="149" t="s">
        <v>167</v>
      </c>
      <c r="AM34" s="149" t="s">
        <v>320</v>
      </c>
      <c r="AN34" s="149">
        <v>2000</v>
      </c>
      <c r="AO34" s="149" t="s">
        <v>61</v>
      </c>
    </row>
    <row r="35" spans="26:41" ht="30" x14ac:dyDescent="0.25">
      <c r="Z35" s="149" t="s">
        <v>166</v>
      </c>
      <c r="AA35" s="149" t="s">
        <v>167</v>
      </c>
      <c r="AD35" s="149" t="s">
        <v>372</v>
      </c>
      <c r="AE35" s="149">
        <v>2000</v>
      </c>
      <c r="AF35" s="149" t="s">
        <v>61</v>
      </c>
    </row>
    <row r="36" spans="26:41" ht="30" x14ac:dyDescent="0.25">
      <c r="AI36" s="149" t="s">
        <v>166</v>
      </c>
      <c r="AJ36" s="149" t="s">
        <v>167</v>
      </c>
      <c r="AM36" s="149" t="s">
        <v>318</v>
      </c>
      <c r="AN36" s="149">
        <v>2000</v>
      </c>
      <c r="AO36" s="149" t="s">
        <v>61</v>
      </c>
    </row>
    <row r="37" spans="26:41" ht="30" x14ac:dyDescent="0.25">
      <c r="AI37" s="149" t="s">
        <v>166</v>
      </c>
      <c r="AJ37" s="149" t="s">
        <v>167</v>
      </c>
      <c r="AM37" s="149" t="s">
        <v>305</v>
      </c>
      <c r="AN37" s="149">
        <v>2000</v>
      </c>
      <c r="AO37" s="149" t="s">
        <v>61</v>
      </c>
    </row>
    <row r="38" spans="26:41" ht="30" x14ac:dyDescent="0.25">
      <c r="Z38" s="149" t="s">
        <v>166</v>
      </c>
      <c r="AA38" s="149" t="s">
        <v>167</v>
      </c>
      <c r="AD38" s="149" t="s">
        <v>323</v>
      </c>
      <c r="AE38" s="149">
        <v>2000</v>
      </c>
      <c r="AF38" s="149" t="s">
        <v>61</v>
      </c>
    </row>
    <row r="39" spans="26:41" ht="30" x14ac:dyDescent="0.25">
      <c r="AI39" s="149" t="s">
        <v>166</v>
      </c>
      <c r="AJ39" s="149" t="s">
        <v>167</v>
      </c>
      <c r="AM39" s="149" t="s">
        <v>286</v>
      </c>
      <c r="AN39" s="149">
        <v>2010</v>
      </c>
      <c r="AO39" s="149" t="s">
        <v>61</v>
      </c>
    </row>
    <row r="40" spans="26:41" ht="30" x14ac:dyDescent="0.25">
      <c r="Z40" s="149" t="s">
        <v>166</v>
      </c>
      <c r="AA40" s="149" t="s">
        <v>167</v>
      </c>
      <c r="AD40" s="149" t="s">
        <v>330</v>
      </c>
      <c r="AE40" s="149">
        <v>2000</v>
      </c>
      <c r="AF40" s="149" t="s">
        <v>61</v>
      </c>
      <c r="AI40" s="149" t="s">
        <v>166</v>
      </c>
      <c r="AJ40" s="149" t="s">
        <v>167</v>
      </c>
      <c r="AM40" s="149" t="s">
        <v>278</v>
      </c>
      <c r="AN40" s="149">
        <v>2000</v>
      </c>
      <c r="AO40" s="149" t="s">
        <v>61</v>
      </c>
    </row>
    <row r="41" spans="26:41" ht="30" x14ac:dyDescent="0.25">
      <c r="Z41" s="149" t="s">
        <v>166</v>
      </c>
      <c r="AA41" s="149" t="s">
        <v>167</v>
      </c>
      <c r="AD41" s="149" t="s">
        <v>410</v>
      </c>
      <c r="AE41" s="149">
        <v>2000</v>
      </c>
      <c r="AF41" s="149" t="s">
        <v>61</v>
      </c>
      <c r="AI41" s="149" t="s">
        <v>166</v>
      </c>
      <c r="AJ41" s="149" t="s">
        <v>167</v>
      </c>
      <c r="AM41" s="149" t="s">
        <v>326</v>
      </c>
      <c r="AN41" s="149">
        <v>2000</v>
      </c>
      <c r="AO41" s="149" t="s">
        <v>61</v>
      </c>
    </row>
    <row r="42" spans="26:41" ht="30" x14ac:dyDescent="0.25">
      <c r="Z42" s="149" t="s">
        <v>166</v>
      </c>
      <c r="AA42" s="149" t="s">
        <v>167</v>
      </c>
      <c r="AD42" s="149" t="s">
        <v>332</v>
      </c>
      <c r="AE42" s="149">
        <v>2000</v>
      </c>
      <c r="AF42" s="149" t="s">
        <v>61</v>
      </c>
    </row>
    <row r="43" spans="26:41" ht="30" x14ac:dyDescent="0.25">
      <c r="Z43" s="149" t="s">
        <v>166</v>
      </c>
      <c r="AA43" s="149" t="s">
        <v>167</v>
      </c>
      <c r="AD43" s="149" t="s">
        <v>247</v>
      </c>
      <c r="AE43" s="149">
        <v>2000</v>
      </c>
      <c r="AF43" s="149" t="s">
        <v>61</v>
      </c>
    </row>
    <row r="44" spans="26:41" ht="30" x14ac:dyDescent="0.25">
      <c r="Z44" s="149" t="s">
        <v>166</v>
      </c>
      <c r="AA44" s="149" t="s">
        <v>167</v>
      </c>
      <c r="AD44" s="149" t="s">
        <v>267</v>
      </c>
      <c r="AE44" s="149">
        <v>2000</v>
      </c>
      <c r="AF44" s="149" t="s">
        <v>61</v>
      </c>
    </row>
    <row r="45" spans="26:41" ht="30" x14ac:dyDescent="0.25">
      <c r="Z45" s="149" t="s">
        <v>166</v>
      </c>
      <c r="AA45" s="149" t="s">
        <v>167</v>
      </c>
      <c r="AD45" s="149" t="s">
        <v>418</v>
      </c>
      <c r="AE45" s="149">
        <v>2000</v>
      </c>
      <c r="AF45" s="149" t="s">
        <v>61</v>
      </c>
    </row>
    <row r="46" spans="26:41" ht="30" x14ac:dyDescent="0.25">
      <c r="AI46" s="149" t="s">
        <v>166</v>
      </c>
      <c r="AJ46" s="149" t="s">
        <v>167</v>
      </c>
      <c r="AM46" s="149" t="s">
        <v>313</v>
      </c>
      <c r="AN46" s="149">
        <v>2000</v>
      </c>
      <c r="AO46" s="149" t="s">
        <v>61</v>
      </c>
    </row>
    <row r="47" spans="26:41" ht="30" x14ac:dyDescent="0.25">
      <c r="Z47" s="149" t="s">
        <v>166</v>
      </c>
      <c r="AA47" s="149" t="s">
        <v>167</v>
      </c>
      <c r="AD47" s="149" t="s">
        <v>257</v>
      </c>
      <c r="AE47" s="149">
        <v>2000</v>
      </c>
      <c r="AF47" s="149" t="s">
        <v>61</v>
      </c>
      <c r="AI47" s="149" t="s">
        <v>166</v>
      </c>
      <c r="AJ47" s="149" t="s">
        <v>167</v>
      </c>
      <c r="AM47" s="149" t="s">
        <v>329</v>
      </c>
      <c r="AN47" s="149">
        <v>2000</v>
      </c>
      <c r="AO47" s="149" t="s">
        <v>61</v>
      </c>
    </row>
    <row r="48" spans="26:41" ht="30" x14ac:dyDescent="0.25">
      <c r="Z48" s="149" t="s">
        <v>166</v>
      </c>
      <c r="AA48" s="149" t="s">
        <v>167</v>
      </c>
      <c r="AD48" s="149" t="s">
        <v>384</v>
      </c>
      <c r="AE48" s="149">
        <v>2000</v>
      </c>
      <c r="AF48" s="149" t="s">
        <v>61</v>
      </c>
    </row>
    <row r="49" spans="26:41" ht="30" x14ac:dyDescent="0.25">
      <c r="Z49" s="149" t="s">
        <v>166</v>
      </c>
      <c r="AA49" s="149" t="s">
        <v>167</v>
      </c>
      <c r="AD49" s="149" t="s">
        <v>371</v>
      </c>
      <c r="AE49" s="149">
        <v>2000</v>
      </c>
      <c r="AF49" s="149" t="s">
        <v>61</v>
      </c>
      <c r="AI49" s="149" t="s">
        <v>166</v>
      </c>
      <c r="AJ49" s="149" t="s">
        <v>167</v>
      </c>
      <c r="AM49" s="149" t="s">
        <v>265</v>
      </c>
      <c r="AN49" s="149">
        <v>2000</v>
      </c>
      <c r="AO49" s="149" t="s">
        <v>61</v>
      </c>
    </row>
    <row r="50" spans="26:41" ht="30" x14ac:dyDescent="0.25">
      <c r="AI50" s="149" t="s">
        <v>166</v>
      </c>
      <c r="AJ50" s="149" t="s">
        <v>167</v>
      </c>
      <c r="AM50" s="149" t="s">
        <v>337</v>
      </c>
      <c r="AN50" s="149">
        <v>2000</v>
      </c>
      <c r="AO50" s="149" t="s">
        <v>61</v>
      </c>
    </row>
    <row r="51" spans="26:41" ht="30" x14ac:dyDescent="0.25">
      <c r="AI51" s="149" t="s">
        <v>166</v>
      </c>
      <c r="AJ51" s="149" t="s">
        <v>167</v>
      </c>
      <c r="AM51" s="149" t="s">
        <v>328</v>
      </c>
      <c r="AN51" s="149">
        <v>2000</v>
      </c>
      <c r="AO51" s="149" t="s">
        <v>61</v>
      </c>
    </row>
    <row r="52" spans="26:41" ht="30" x14ac:dyDescent="0.25">
      <c r="Z52" s="149" t="s">
        <v>166</v>
      </c>
      <c r="AA52" s="149" t="s">
        <v>167</v>
      </c>
      <c r="AD52" s="149" t="s">
        <v>310</v>
      </c>
      <c r="AE52" s="149">
        <v>2000</v>
      </c>
      <c r="AF52" s="149" t="s">
        <v>61</v>
      </c>
    </row>
    <row r="53" spans="26:41" ht="30" x14ac:dyDescent="0.25">
      <c r="Z53" s="149" t="s">
        <v>166</v>
      </c>
      <c r="AA53" s="149" t="s">
        <v>167</v>
      </c>
      <c r="AD53" s="149" t="s">
        <v>309</v>
      </c>
      <c r="AE53" s="149">
        <v>2000</v>
      </c>
      <c r="AF53" s="149" t="s">
        <v>61</v>
      </c>
    </row>
    <row r="54" spans="26:41" ht="30" x14ac:dyDescent="0.25">
      <c r="Z54" s="149" t="s">
        <v>166</v>
      </c>
      <c r="AA54" s="149" t="s">
        <v>167</v>
      </c>
      <c r="AD54" s="149" t="s">
        <v>358</v>
      </c>
      <c r="AE54" s="149">
        <v>2000</v>
      </c>
      <c r="AF54" s="149" t="s">
        <v>61</v>
      </c>
    </row>
    <row r="55" spans="26:41" ht="30" x14ac:dyDescent="0.25">
      <c r="Z55" s="149" t="s">
        <v>166</v>
      </c>
      <c r="AA55" s="149" t="s">
        <v>167</v>
      </c>
      <c r="AD55" s="149" t="s">
        <v>271</v>
      </c>
      <c r="AE55" s="149">
        <v>2000</v>
      </c>
      <c r="AF55" s="149" t="s">
        <v>61</v>
      </c>
    </row>
    <row r="56" spans="26:41" ht="30" x14ac:dyDescent="0.25">
      <c r="Z56" s="149" t="s">
        <v>166</v>
      </c>
      <c r="AA56" s="149" t="s">
        <v>167</v>
      </c>
      <c r="AD56" s="149" t="s">
        <v>344</v>
      </c>
      <c r="AE56" s="149">
        <v>2000</v>
      </c>
      <c r="AF56" s="149" t="s">
        <v>61</v>
      </c>
    </row>
    <row r="57" spans="26:41" ht="30" x14ac:dyDescent="0.25">
      <c r="AI57" s="149" t="s">
        <v>166</v>
      </c>
      <c r="AJ57" s="149" t="s">
        <v>167</v>
      </c>
      <c r="AM57" s="149" t="s">
        <v>327</v>
      </c>
      <c r="AN57" s="149">
        <v>2000</v>
      </c>
      <c r="AO57" s="149" t="s">
        <v>61</v>
      </c>
    </row>
    <row r="58" spans="26:41" ht="30" x14ac:dyDescent="0.25">
      <c r="AI58" s="149" t="s">
        <v>166</v>
      </c>
      <c r="AJ58" s="149" t="s">
        <v>167</v>
      </c>
      <c r="AM58" s="149" t="s">
        <v>420</v>
      </c>
      <c r="AN58" s="149">
        <v>2000</v>
      </c>
      <c r="AO58" s="149" t="s">
        <v>61</v>
      </c>
    </row>
    <row r="59" spans="26:41" ht="30" x14ac:dyDescent="0.25">
      <c r="Z59" s="149" t="s">
        <v>166</v>
      </c>
      <c r="AA59" s="149" t="s">
        <v>167</v>
      </c>
      <c r="AD59" s="149" t="s">
        <v>397</v>
      </c>
      <c r="AE59" s="149">
        <v>2000</v>
      </c>
      <c r="AF59" s="149" t="s">
        <v>61</v>
      </c>
    </row>
    <row r="60" spans="26:41" ht="30" x14ac:dyDescent="0.25">
      <c r="Z60" s="149" t="s">
        <v>166</v>
      </c>
      <c r="AA60" s="149" t="s">
        <v>167</v>
      </c>
      <c r="AD60" s="149" t="s">
        <v>277</v>
      </c>
      <c r="AE60" s="149">
        <v>2000</v>
      </c>
      <c r="AF60" s="149" t="s">
        <v>61</v>
      </c>
      <c r="AI60" s="149" t="s">
        <v>166</v>
      </c>
      <c r="AJ60" s="149" t="s">
        <v>167</v>
      </c>
      <c r="AM60" s="149" t="s">
        <v>396</v>
      </c>
      <c r="AN60" s="149">
        <v>2000</v>
      </c>
      <c r="AO60" s="149" t="s">
        <v>61</v>
      </c>
    </row>
    <row r="61" spans="26:41" ht="30" x14ac:dyDescent="0.25">
      <c r="Z61" s="149" t="s">
        <v>166</v>
      </c>
      <c r="AA61" s="149" t="s">
        <v>167</v>
      </c>
      <c r="AD61" s="149" t="s">
        <v>299</v>
      </c>
      <c r="AE61" s="149">
        <v>2000</v>
      </c>
      <c r="AF61" s="149" t="s">
        <v>61</v>
      </c>
      <c r="AI61" s="149" t="s">
        <v>166</v>
      </c>
      <c r="AJ61" s="149" t="s">
        <v>167</v>
      </c>
      <c r="AM61" s="149" t="s">
        <v>357</v>
      </c>
      <c r="AN61" s="149">
        <v>2000</v>
      </c>
      <c r="AO61" s="149" t="s">
        <v>61</v>
      </c>
    </row>
    <row r="62" spans="26:41" ht="30" x14ac:dyDescent="0.25">
      <c r="Z62" s="149" t="s">
        <v>166</v>
      </c>
      <c r="AA62" s="149" t="s">
        <v>167</v>
      </c>
      <c r="AD62" s="149" t="s">
        <v>255</v>
      </c>
      <c r="AE62" s="149">
        <v>2000</v>
      </c>
      <c r="AF62" s="149" t="s">
        <v>61</v>
      </c>
      <c r="AI62" s="149" t="s">
        <v>166</v>
      </c>
      <c r="AJ62" s="149" t="s">
        <v>167</v>
      </c>
      <c r="AM62" s="149" t="s">
        <v>379</v>
      </c>
      <c r="AN62" s="149">
        <v>2000</v>
      </c>
      <c r="AO62" s="149" t="s">
        <v>61</v>
      </c>
    </row>
    <row r="63" spans="26:41" ht="30" x14ac:dyDescent="0.25">
      <c r="Z63" s="149" t="s">
        <v>166</v>
      </c>
      <c r="AA63" s="149" t="s">
        <v>167</v>
      </c>
      <c r="AD63" s="149" t="s">
        <v>421</v>
      </c>
      <c r="AE63" s="149">
        <v>2000</v>
      </c>
      <c r="AF63" s="149" t="s">
        <v>61</v>
      </c>
    </row>
    <row r="64" spans="26:41" ht="30" x14ac:dyDescent="0.25">
      <c r="Z64" s="149" t="s">
        <v>166</v>
      </c>
      <c r="AA64" s="149" t="s">
        <v>167</v>
      </c>
      <c r="AD64" s="149" t="s">
        <v>425</v>
      </c>
      <c r="AE64" s="149">
        <v>2000</v>
      </c>
      <c r="AF64" s="149" t="s">
        <v>61</v>
      </c>
    </row>
    <row r="65" spans="26:41" ht="30" x14ac:dyDescent="0.25">
      <c r="AI65" s="149" t="s">
        <v>166</v>
      </c>
      <c r="AJ65" s="149" t="s">
        <v>167</v>
      </c>
      <c r="AM65" s="149" t="s">
        <v>349</v>
      </c>
      <c r="AN65" s="149">
        <v>2000</v>
      </c>
      <c r="AO65" s="149" t="s">
        <v>61</v>
      </c>
    </row>
    <row r="66" spans="26:41" ht="30" x14ac:dyDescent="0.25">
      <c r="Z66" s="149" t="s">
        <v>166</v>
      </c>
      <c r="AA66" s="149" t="s">
        <v>167</v>
      </c>
      <c r="AD66" s="149" t="s">
        <v>256</v>
      </c>
      <c r="AE66" s="149">
        <v>2000</v>
      </c>
      <c r="AF66" s="149" t="s">
        <v>61</v>
      </c>
    </row>
    <row r="67" spans="26:41" ht="30" x14ac:dyDescent="0.25">
      <c r="Z67" s="149" t="s">
        <v>166</v>
      </c>
      <c r="AA67" s="149" t="s">
        <v>167</v>
      </c>
      <c r="AD67" s="149" t="s">
        <v>433</v>
      </c>
      <c r="AE67" s="149">
        <v>2000</v>
      </c>
      <c r="AF67" s="149" t="s">
        <v>61</v>
      </c>
      <c r="AI67" s="149" t="s">
        <v>166</v>
      </c>
      <c r="AJ67" s="149" t="s">
        <v>167</v>
      </c>
      <c r="AM67" s="149" t="s">
        <v>241</v>
      </c>
      <c r="AN67" s="149">
        <v>2000</v>
      </c>
      <c r="AO67" s="149" t="s">
        <v>61</v>
      </c>
    </row>
    <row r="68" spans="26:41" ht="30" x14ac:dyDescent="0.25">
      <c r="Z68" s="149" t="s">
        <v>166</v>
      </c>
      <c r="AA68" s="149" t="s">
        <v>167</v>
      </c>
      <c r="AD68" s="149" t="s">
        <v>303</v>
      </c>
      <c r="AE68" s="149">
        <v>2000</v>
      </c>
      <c r="AF68" s="149" t="s">
        <v>61</v>
      </c>
    </row>
    <row r="69" spans="26:41" ht="30" x14ac:dyDescent="0.25">
      <c r="AI69" s="149" t="s">
        <v>166</v>
      </c>
      <c r="AJ69" s="149" t="s">
        <v>167</v>
      </c>
      <c r="AM69" s="149" t="s">
        <v>348</v>
      </c>
      <c r="AN69" s="149">
        <v>2000</v>
      </c>
      <c r="AO69" s="149" t="s">
        <v>61</v>
      </c>
    </row>
    <row r="70" spans="26:41" ht="30" x14ac:dyDescent="0.25">
      <c r="Z70" s="149" t="s">
        <v>166</v>
      </c>
      <c r="AA70" s="149" t="s">
        <v>167</v>
      </c>
      <c r="AD70" s="149" t="s">
        <v>417</v>
      </c>
      <c r="AE70" s="149">
        <v>2000</v>
      </c>
      <c r="AF70" s="149" t="s">
        <v>61</v>
      </c>
    </row>
    <row r="71" spans="26:41" ht="30" x14ac:dyDescent="0.25">
      <c r="AI71" s="149" t="s">
        <v>166</v>
      </c>
      <c r="AJ71" s="149" t="s">
        <v>167</v>
      </c>
      <c r="AM71" s="149" t="s">
        <v>300</v>
      </c>
      <c r="AN71" s="149">
        <v>2000</v>
      </c>
      <c r="AO71" s="149" t="s">
        <v>61</v>
      </c>
    </row>
    <row r="72" spans="26:41" ht="30" x14ac:dyDescent="0.25">
      <c r="Z72" s="149" t="s">
        <v>166</v>
      </c>
      <c r="AA72" s="149" t="s">
        <v>167</v>
      </c>
      <c r="AD72" s="149" t="s">
        <v>266</v>
      </c>
      <c r="AE72" s="149">
        <v>2000</v>
      </c>
      <c r="AF72" s="149" t="s">
        <v>61</v>
      </c>
    </row>
    <row r="73" spans="26:41" ht="30" x14ac:dyDescent="0.25">
      <c r="AI73" s="149" t="s">
        <v>166</v>
      </c>
      <c r="AJ73" s="149" t="s">
        <v>167</v>
      </c>
      <c r="AM73" s="149" t="s">
        <v>311</v>
      </c>
      <c r="AN73" s="149">
        <v>2000</v>
      </c>
      <c r="AO73" s="149" t="s">
        <v>61</v>
      </c>
    </row>
    <row r="74" spans="26:41" ht="30" x14ac:dyDescent="0.25">
      <c r="AI74" s="149" t="s">
        <v>166</v>
      </c>
      <c r="AJ74" s="149" t="s">
        <v>167</v>
      </c>
      <c r="AM74" s="149" t="s">
        <v>415</v>
      </c>
      <c r="AN74" s="149">
        <v>2000</v>
      </c>
      <c r="AO74" s="149" t="s">
        <v>61</v>
      </c>
    </row>
    <row r="75" spans="26:41" ht="30" x14ac:dyDescent="0.25">
      <c r="Z75" s="149" t="s">
        <v>166</v>
      </c>
      <c r="AA75" s="149" t="s">
        <v>167</v>
      </c>
      <c r="AD75" s="149" t="s">
        <v>264</v>
      </c>
      <c r="AE75" s="149">
        <v>2000</v>
      </c>
      <c r="AF75" s="149" t="s">
        <v>61</v>
      </c>
      <c r="AI75" s="149" t="s">
        <v>166</v>
      </c>
      <c r="AJ75" s="149" t="s">
        <v>167</v>
      </c>
      <c r="AM75" s="149" t="s">
        <v>341</v>
      </c>
      <c r="AN75" s="149">
        <v>2000</v>
      </c>
      <c r="AO75" s="149" t="s">
        <v>61</v>
      </c>
    </row>
    <row r="76" spans="26:41" ht="30" x14ac:dyDescent="0.25">
      <c r="AI76" s="149" t="s">
        <v>166</v>
      </c>
      <c r="AJ76" s="149" t="s">
        <v>167</v>
      </c>
      <c r="AM76" s="149" t="s">
        <v>258</v>
      </c>
      <c r="AN76" s="149">
        <v>2000</v>
      </c>
      <c r="AO76" s="149" t="s">
        <v>61</v>
      </c>
    </row>
    <row r="77" spans="26:41" ht="30" x14ac:dyDescent="0.25">
      <c r="Z77" s="149" t="s">
        <v>166</v>
      </c>
      <c r="AA77" s="149" t="s">
        <v>167</v>
      </c>
      <c r="AD77" s="149" t="s">
        <v>414</v>
      </c>
      <c r="AE77" s="149">
        <v>2000</v>
      </c>
      <c r="AF77" s="149" t="s">
        <v>61</v>
      </c>
    </row>
    <row r="78" spans="26:41" ht="30" x14ac:dyDescent="0.25">
      <c r="Z78" s="149" t="s">
        <v>166</v>
      </c>
      <c r="AA78" s="149" t="s">
        <v>167</v>
      </c>
      <c r="AD78" s="149" t="s">
        <v>297</v>
      </c>
      <c r="AE78" s="149">
        <v>2000</v>
      </c>
      <c r="AF78" s="149" t="s">
        <v>61</v>
      </c>
    </row>
    <row r="79" spans="26:41" ht="30" x14ac:dyDescent="0.25">
      <c r="AI79" s="149" t="s">
        <v>166</v>
      </c>
      <c r="AJ79" s="149" t="s">
        <v>167</v>
      </c>
      <c r="AM79" s="149" t="s">
        <v>412</v>
      </c>
      <c r="AN79" s="149">
        <v>2000</v>
      </c>
      <c r="AO79" s="149" t="s">
        <v>61</v>
      </c>
    </row>
    <row r="80" spans="26:41" ht="30" x14ac:dyDescent="0.25">
      <c r="AI80" s="149" t="s">
        <v>166</v>
      </c>
      <c r="AJ80" s="149" t="s">
        <v>167</v>
      </c>
      <c r="AM80" s="149" t="s">
        <v>390</v>
      </c>
      <c r="AN80" s="149">
        <v>2000</v>
      </c>
      <c r="AO80" s="149" t="s">
        <v>61</v>
      </c>
    </row>
    <row r="81" spans="26:41" ht="30" x14ac:dyDescent="0.25">
      <c r="Z81" s="149" t="s">
        <v>166</v>
      </c>
      <c r="AA81" s="149" t="s">
        <v>167</v>
      </c>
      <c r="AD81" s="149" t="s">
        <v>240</v>
      </c>
      <c r="AE81" s="149">
        <v>2000</v>
      </c>
      <c r="AF81" s="149" t="s">
        <v>61</v>
      </c>
      <c r="AI81" s="149" t="s">
        <v>166</v>
      </c>
      <c r="AJ81" s="149" t="s">
        <v>167</v>
      </c>
      <c r="AM81" s="149" t="s">
        <v>334</v>
      </c>
      <c r="AN81" s="149">
        <v>2000</v>
      </c>
      <c r="AO81" s="149" t="s">
        <v>61</v>
      </c>
    </row>
    <row r="82" spans="26:41" ht="30" x14ac:dyDescent="0.25">
      <c r="Z82" s="149" t="s">
        <v>166</v>
      </c>
      <c r="AA82" s="149" t="s">
        <v>167</v>
      </c>
      <c r="AD82" s="149" t="s">
        <v>246</v>
      </c>
      <c r="AE82" s="149">
        <v>2000</v>
      </c>
      <c r="AF82" s="149" t="s">
        <v>61</v>
      </c>
    </row>
    <row r="83" spans="26:41" ht="30" x14ac:dyDescent="0.25">
      <c r="AI83" s="149" t="s">
        <v>166</v>
      </c>
      <c r="AJ83" s="149" t="s">
        <v>167</v>
      </c>
      <c r="AM83" s="149" t="s">
        <v>416</v>
      </c>
      <c r="AN83" s="149">
        <v>2000</v>
      </c>
      <c r="AO83" s="149" t="s">
        <v>61</v>
      </c>
    </row>
    <row r="84" spans="26:41" ht="30" x14ac:dyDescent="0.25">
      <c r="Z84" s="149" t="s">
        <v>166</v>
      </c>
      <c r="AA84" s="149" t="s">
        <v>167</v>
      </c>
      <c r="AD84" s="149" t="s">
        <v>325</v>
      </c>
      <c r="AE84" s="149">
        <v>2000</v>
      </c>
      <c r="AF84" s="149" t="s">
        <v>61</v>
      </c>
      <c r="AI84" s="149" t="s">
        <v>166</v>
      </c>
      <c r="AJ84" s="149" t="s">
        <v>167</v>
      </c>
      <c r="AM84" s="149" t="s">
        <v>280</v>
      </c>
      <c r="AN84" s="149">
        <v>2000</v>
      </c>
      <c r="AO84" s="149" t="s">
        <v>61</v>
      </c>
    </row>
    <row r="85" spans="26:41" ht="30" x14ac:dyDescent="0.25">
      <c r="Z85" s="149" t="s">
        <v>166</v>
      </c>
      <c r="AA85" s="149" t="s">
        <v>167</v>
      </c>
      <c r="AD85" s="149" t="s">
        <v>393</v>
      </c>
      <c r="AE85" s="149">
        <v>2000</v>
      </c>
      <c r="AF85" s="149" t="s">
        <v>61</v>
      </c>
    </row>
    <row r="86" spans="26:41" ht="30" x14ac:dyDescent="0.25">
      <c r="AI86" s="149" t="s">
        <v>166</v>
      </c>
      <c r="AJ86" s="149" t="s">
        <v>167</v>
      </c>
      <c r="AM86" s="149" t="s">
        <v>347</v>
      </c>
      <c r="AN86" s="149">
        <v>2000</v>
      </c>
      <c r="AO86" s="149" t="s">
        <v>61</v>
      </c>
    </row>
    <row r="87" spans="26:41" ht="30" x14ac:dyDescent="0.25">
      <c r="AI87" s="149" t="s">
        <v>166</v>
      </c>
      <c r="AJ87" s="149" t="s">
        <v>167</v>
      </c>
      <c r="AM87" s="149" t="s">
        <v>431</v>
      </c>
      <c r="AN87" s="149">
        <v>2000</v>
      </c>
      <c r="AO87" s="149" t="s">
        <v>61</v>
      </c>
    </row>
    <row r="88" spans="26:41" ht="30" x14ac:dyDescent="0.25">
      <c r="AI88" s="149" t="s">
        <v>166</v>
      </c>
      <c r="AJ88" s="149" t="s">
        <v>167</v>
      </c>
      <c r="AM88" s="149" t="s">
        <v>403</v>
      </c>
      <c r="AN88" s="149">
        <v>2000</v>
      </c>
      <c r="AO88" s="149" t="s">
        <v>61</v>
      </c>
    </row>
    <row r="89" spans="26:41" ht="30" x14ac:dyDescent="0.25">
      <c r="Z89" s="149" t="s">
        <v>166</v>
      </c>
      <c r="AA89" s="149" t="s">
        <v>167</v>
      </c>
      <c r="AD89" s="149" t="s">
        <v>375</v>
      </c>
      <c r="AE89" s="149">
        <v>2000</v>
      </c>
      <c r="AF89" s="149" t="s">
        <v>61</v>
      </c>
    </row>
    <row r="90" spans="26:41" ht="30" x14ac:dyDescent="0.25">
      <c r="Z90" s="149" t="s">
        <v>166</v>
      </c>
      <c r="AA90" s="149" t="s">
        <v>167</v>
      </c>
      <c r="AD90" s="149" t="s">
        <v>238</v>
      </c>
      <c r="AE90" s="149">
        <v>2000</v>
      </c>
      <c r="AF90" s="149" t="s">
        <v>61</v>
      </c>
    </row>
    <row r="91" spans="26:41" ht="30" x14ac:dyDescent="0.25">
      <c r="AI91" s="149" t="s">
        <v>166</v>
      </c>
      <c r="AJ91" s="149" t="s">
        <v>167</v>
      </c>
      <c r="AM91" s="149" t="s">
        <v>355</v>
      </c>
      <c r="AN91" s="149">
        <v>2000</v>
      </c>
      <c r="AO91" s="149" t="s">
        <v>61</v>
      </c>
    </row>
    <row r="92" spans="26:41" ht="30" x14ac:dyDescent="0.25">
      <c r="Z92" s="149" t="s">
        <v>166</v>
      </c>
      <c r="AA92" s="149" t="s">
        <v>167</v>
      </c>
      <c r="AD92" s="149" t="s">
        <v>276</v>
      </c>
      <c r="AE92" s="149">
        <v>2000</v>
      </c>
      <c r="AF92" s="149" t="s">
        <v>61</v>
      </c>
    </row>
    <row r="93" spans="26:41" ht="30" x14ac:dyDescent="0.25">
      <c r="Z93" s="149" t="s">
        <v>166</v>
      </c>
      <c r="AA93" s="149" t="s">
        <v>167</v>
      </c>
      <c r="AD93" s="149" t="s">
        <v>236</v>
      </c>
      <c r="AE93" s="149">
        <v>2000</v>
      </c>
      <c r="AF93" s="149" t="s">
        <v>61</v>
      </c>
      <c r="AI93" s="149" t="s">
        <v>166</v>
      </c>
      <c r="AJ93" s="149" t="s">
        <v>167</v>
      </c>
      <c r="AM93" s="149" t="s">
        <v>262</v>
      </c>
      <c r="AN93" s="149">
        <v>2000</v>
      </c>
      <c r="AO93" s="149" t="s">
        <v>61</v>
      </c>
    </row>
    <row r="94" spans="26:41" ht="30" x14ac:dyDescent="0.25">
      <c r="AI94" s="149" t="s">
        <v>166</v>
      </c>
      <c r="AJ94" s="149" t="s">
        <v>167</v>
      </c>
      <c r="AM94" s="149" t="s">
        <v>340</v>
      </c>
      <c r="AN94" s="149">
        <v>2000</v>
      </c>
      <c r="AO94" s="149" t="s">
        <v>61</v>
      </c>
    </row>
    <row r="95" spans="26:41" ht="30" x14ac:dyDescent="0.25">
      <c r="AI95" s="149" t="s">
        <v>166</v>
      </c>
      <c r="AJ95" s="149" t="s">
        <v>167</v>
      </c>
      <c r="AM95" s="149" t="s">
        <v>432</v>
      </c>
      <c r="AN95" s="149">
        <v>2000</v>
      </c>
      <c r="AO95" s="149" t="s">
        <v>61</v>
      </c>
    </row>
    <row r="96" spans="26:41" ht="30" x14ac:dyDescent="0.25">
      <c r="AI96" s="149" t="s">
        <v>166</v>
      </c>
      <c r="AJ96" s="149" t="s">
        <v>167</v>
      </c>
      <c r="AM96" s="149" t="s">
        <v>404</v>
      </c>
      <c r="AN96" s="149">
        <v>2000</v>
      </c>
      <c r="AO96" s="149" t="s">
        <v>61</v>
      </c>
    </row>
    <row r="97" spans="26:41" ht="30" x14ac:dyDescent="0.25">
      <c r="AI97" s="149" t="s">
        <v>166</v>
      </c>
      <c r="AJ97" s="149" t="s">
        <v>167</v>
      </c>
      <c r="AM97" s="149" t="s">
        <v>343</v>
      </c>
      <c r="AN97" s="149">
        <v>2000</v>
      </c>
      <c r="AO97" s="149" t="s">
        <v>61</v>
      </c>
    </row>
    <row r="98" spans="26:41" ht="30" x14ac:dyDescent="0.25">
      <c r="Z98" s="149" t="s">
        <v>166</v>
      </c>
      <c r="AA98" s="149" t="s">
        <v>167</v>
      </c>
      <c r="AD98" s="149" t="s">
        <v>242</v>
      </c>
      <c r="AE98" s="149">
        <v>2000</v>
      </c>
      <c r="AF98" s="149" t="s">
        <v>61</v>
      </c>
    </row>
    <row r="99" spans="26:41" ht="30" x14ac:dyDescent="0.25">
      <c r="Z99" s="149" t="s">
        <v>166</v>
      </c>
      <c r="AA99" s="149" t="s">
        <v>167</v>
      </c>
      <c r="AD99" s="149" t="s">
        <v>382</v>
      </c>
      <c r="AE99" s="149">
        <v>2000</v>
      </c>
      <c r="AF99" s="149" t="s">
        <v>61</v>
      </c>
    </row>
    <row r="100" spans="26:41" ht="30" x14ac:dyDescent="0.25">
      <c r="AI100" s="149" t="s">
        <v>166</v>
      </c>
      <c r="AJ100" s="149" t="s">
        <v>167</v>
      </c>
      <c r="AM100" s="149" t="s">
        <v>288</v>
      </c>
      <c r="AN100" s="149">
        <v>2000</v>
      </c>
      <c r="AO100" s="149" t="s">
        <v>61</v>
      </c>
    </row>
    <row r="101" spans="26:41" ht="30" x14ac:dyDescent="0.25">
      <c r="Z101" s="149" t="s">
        <v>166</v>
      </c>
      <c r="AA101" s="149" t="s">
        <v>167</v>
      </c>
      <c r="AD101" s="149" t="s">
        <v>406</v>
      </c>
      <c r="AE101" s="149">
        <v>2000</v>
      </c>
      <c r="AF101" s="149" t="s">
        <v>61</v>
      </c>
    </row>
    <row r="102" spans="26:41" ht="30" x14ac:dyDescent="0.25">
      <c r="AI102" s="149" t="s">
        <v>166</v>
      </c>
      <c r="AJ102" s="149" t="s">
        <v>167</v>
      </c>
      <c r="AM102" s="149" t="s">
        <v>351</v>
      </c>
      <c r="AN102" s="149">
        <v>2000</v>
      </c>
      <c r="AO102" s="149" t="s">
        <v>61</v>
      </c>
    </row>
    <row r="103" spans="26:41" ht="30" x14ac:dyDescent="0.25">
      <c r="Z103" s="149" t="s">
        <v>166</v>
      </c>
      <c r="AA103" s="149" t="s">
        <v>167</v>
      </c>
      <c r="AD103" s="149" t="s">
        <v>368</v>
      </c>
      <c r="AE103" s="149">
        <v>2000</v>
      </c>
      <c r="AF103" s="149" t="s">
        <v>61</v>
      </c>
    </row>
    <row r="104" spans="26:41" ht="30" x14ac:dyDescent="0.25">
      <c r="AI104" s="149" t="s">
        <v>166</v>
      </c>
      <c r="AJ104" s="149" t="s">
        <v>167</v>
      </c>
      <c r="AM104" s="149" t="s">
        <v>383</v>
      </c>
      <c r="AN104" s="149">
        <v>2000</v>
      </c>
      <c r="AO104" s="149" t="s">
        <v>61</v>
      </c>
    </row>
    <row r="105" spans="26:41" ht="30" x14ac:dyDescent="0.25">
      <c r="AI105" s="149" t="s">
        <v>166</v>
      </c>
      <c r="AJ105" s="149" t="s">
        <v>167</v>
      </c>
      <c r="AM105" s="149" t="s">
        <v>321</v>
      </c>
      <c r="AN105" s="149">
        <v>2000</v>
      </c>
      <c r="AO105" s="149" t="s">
        <v>61</v>
      </c>
    </row>
    <row r="106" spans="26:41" ht="30" x14ac:dyDescent="0.25">
      <c r="Z106" s="149" t="s">
        <v>166</v>
      </c>
      <c r="AA106" s="149" t="s">
        <v>167</v>
      </c>
      <c r="AD106" s="149" t="s">
        <v>232</v>
      </c>
      <c r="AE106" s="149">
        <v>2000</v>
      </c>
      <c r="AF106" s="149" t="s">
        <v>61</v>
      </c>
    </row>
    <row r="107" spans="26:41" ht="30" x14ac:dyDescent="0.25">
      <c r="AI107" s="149" t="s">
        <v>166</v>
      </c>
      <c r="AJ107" s="149" t="s">
        <v>167</v>
      </c>
      <c r="AM107" s="149" t="s">
        <v>423</v>
      </c>
      <c r="AN107" s="149">
        <v>2000</v>
      </c>
      <c r="AO107" s="149" t="s">
        <v>61</v>
      </c>
    </row>
    <row r="108" spans="26:41" ht="30" x14ac:dyDescent="0.25">
      <c r="AI108" s="149" t="s">
        <v>166</v>
      </c>
      <c r="AJ108" s="149" t="s">
        <v>167</v>
      </c>
      <c r="AM108" s="149" t="s">
        <v>284</v>
      </c>
      <c r="AN108" s="149">
        <v>2000</v>
      </c>
      <c r="AO108" s="149" t="s">
        <v>61</v>
      </c>
    </row>
    <row r="109" spans="26:41" ht="30" x14ac:dyDescent="0.25">
      <c r="AI109" s="149" t="s">
        <v>166</v>
      </c>
      <c r="AJ109" s="149" t="s">
        <v>167</v>
      </c>
      <c r="AM109" s="149" t="s">
        <v>346</v>
      </c>
      <c r="AN109" s="149">
        <v>2000</v>
      </c>
      <c r="AO109" s="149" t="s">
        <v>61</v>
      </c>
    </row>
    <row r="110" spans="26:41" ht="30" x14ac:dyDescent="0.25">
      <c r="AI110" s="149" t="s">
        <v>166</v>
      </c>
      <c r="AJ110" s="149" t="s">
        <v>167</v>
      </c>
      <c r="AM110" s="149" t="s">
        <v>307</v>
      </c>
      <c r="AN110" s="149">
        <v>2000</v>
      </c>
      <c r="AO110" s="149" t="s">
        <v>61</v>
      </c>
    </row>
    <row r="111" spans="26:41" ht="30" x14ac:dyDescent="0.25">
      <c r="Z111" s="149" t="s">
        <v>166</v>
      </c>
      <c r="AA111" s="149" t="s">
        <v>167</v>
      </c>
      <c r="AD111" s="149" t="s">
        <v>408</v>
      </c>
      <c r="AE111" s="149">
        <v>2000</v>
      </c>
      <c r="AF111" s="149" t="s">
        <v>61</v>
      </c>
    </row>
    <row r="112" spans="26:41" ht="30" x14ac:dyDescent="0.25">
      <c r="Z112" s="149" t="s">
        <v>166</v>
      </c>
      <c r="AA112" s="149" t="s">
        <v>167</v>
      </c>
      <c r="AD112" s="149" t="s">
        <v>395</v>
      </c>
      <c r="AE112" s="149">
        <v>2000</v>
      </c>
      <c r="AF112" s="149" t="s">
        <v>61</v>
      </c>
    </row>
    <row r="113" spans="26:41" ht="30" x14ac:dyDescent="0.25">
      <c r="Z113" s="149" t="s">
        <v>166</v>
      </c>
      <c r="AA113" s="149" t="s">
        <v>167</v>
      </c>
      <c r="AD113" s="149" t="s">
        <v>360</v>
      </c>
      <c r="AE113" s="149">
        <v>2000</v>
      </c>
      <c r="AF113" s="149" t="s">
        <v>61</v>
      </c>
    </row>
    <row r="114" spans="26:41" ht="30" x14ac:dyDescent="0.25">
      <c r="Z114" s="149" t="s">
        <v>166</v>
      </c>
      <c r="AA114" s="149" t="s">
        <v>167</v>
      </c>
      <c r="AD114" s="149" t="s">
        <v>400</v>
      </c>
      <c r="AE114" s="149">
        <v>2000</v>
      </c>
      <c r="AF114" s="149" t="s">
        <v>61</v>
      </c>
      <c r="AI114" s="149" t="s">
        <v>166</v>
      </c>
      <c r="AJ114" s="149" t="s">
        <v>167</v>
      </c>
      <c r="AM114" s="149" t="s">
        <v>249</v>
      </c>
      <c r="AN114" s="149">
        <v>2000</v>
      </c>
      <c r="AO114" s="149" t="s">
        <v>61</v>
      </c>
    </row>
    <row r="115" spans="26:41" ht="30" x14ac:dyDescent="0.25">
      <c r="AI115" s="149" t="s">
        <v>166</v>
      </c>
      <c r="AJ115" s="149" t="s">
        <v>167</v>
      </c>
      <c r="AM115" s="149" t="s">
        <v>293</v>
      </c>
      <c r="AN115" s="149">
        <v>2000</v>
      </c>
      <c r="AO115" s="149" t="s">
        <v>61</v>
      </c>
    </row>
    <row r="116" spans="26:41" ht="30" x14ac:dyDescent="0.25">
      <c r="Z116" s="149" t="s">
        <v>166</v>
      </c>
      <c r="AA116" s="149" t="s">
        <v>167</v>
      </c>
      <c r="AD116" s="149" t="s">
        <v>331</v>
      </c>
      <c r="AE116" s="149">
        <v>2000</v>
      </c>
      <c r="AF116" s="149" t="s">
        <v>61</v>
      </c>
    </row>
    <row r="117" spans="26:41" ht="30" x14ac:dyDescent="0.25">
      <c r="Z117" s="149" t="s">
        <v>166</v>
      </c>
      <c r="AA117" s="149" t="s">
        <v>167</v>
      </c>
      <c r="AD117" s="149" t="s">
        <v>317</v>
      </c>
      <c r="AE117" s="149">
        <v>2000</v>
      </c>
      <c r="AF117" s="149" t="s">
        <v>61</v>
      </c>
    </row>
    <row r="118" spans="26:41" ht="30" x14ac:dyDescent="0.25">
      <c r="AI118" s="149" t="s">
        <v>166</v>
      </c>
      <c r="AJ118" s="149" t="s">
        <v>167</v>
      </c>
      <c r="AM118" s="149" t="s">
        <v>402</v>
      </c>
      <c r="AN118" s="149">
        <v>2000</v>
      </c>
      <c r="AO118" s="149" t="s">
        <v>61</v>
      </c>
    </row>
    <row r="119" spans="26:41" ht="30" x14ac:dyDescent="0.25">
      <c r="AI119" s="149" t="s">
        <v>166</v>
      </c>
      <c r="AJ119" s="149" t="s">
        <v>167</v>
      </c>
      <c r="AM119" s="149" t="s">
        <v>269</v>
      </c>
      <c r="AN119" s="149">
        <v>2000</v>
      </c>
      <c r="AO119" s="149" t="s">
        <v>61</v>
      </c>
    </row>
    <row r="120" spans="26:41" ht="30" x14ac:dyDescent="0.25">
      <c r="AI120" s="149" t="s">
        <v>166</v>
      </c>
      <c r="AJ120" s="149" t="s">
        <v>167</v>
      </c>
      <c r="AM120" s="149" t="s">
        <v>352</v>
      </c>
      <c r="AN120" s="149">
        <v>2000</v>
      </c>
      <c r="AO120" s="149" t="s">
        <v>61</v>
      </c>
    </row>
    <row r="121" spans="26:41" ht="30" x14ac:dyDescent="0.25">
      <c r="Z121" s="149" t="s">
        <v>166</v>
      </c>
      <c r="AA121" s="149" t="s">
        <v>167</v>
      </c>
      <c r="AD121" s="149" t="s">
        <v>407</v>
      </c>
      <c r="AE121" s="149">
        <v>2000</v>
      </c>
      <c r="AF121" s="149" t="s">
        <v>61</v>
      </c>
    </row>
    <row r="122" spans="26:41" ht="30" x14ac:dyDescent="0.25">
      <c r="AI122" s="149" t="s">
        <v>166</v>
      </c>
      <c r="AJ122" s="149" t="s">
        <v>167</v>
      </c>
      <c r="AM122" s="149" t="s">
        <v>411</v>
      </c>
      <c r="AN122" s="149">
        <v>2000</v>
      </c>
      <c r="AO122" s="149" t="s">
        <v>61</v>
      </c>
    </row>
    <row r="123" spans="26:41" ht="30" x14ac:dyDescent="0.25">
      <c r="Z123" s="149" t="s">
        <v>166</v>
      </c>
      <c r="AA123" s="149" t="s">
        <v>167</v>
      </c>
      <c r="AD123" s="149" t="s">
        <v>235</v>
      </c>
      <c r="AE123" s="149">
        <v>2000</v>
      </c>
      <c r="AF123" s="149" t="s">
        <v>61</v>
      </c>
    </row>
    <row r="124" spans="26:41" ht="30" x14ac:dyDescent="0.25">
      <c r="Z124" s="149" t="s">
        <v>166</v>
      </c>
      <c r="AA124" s="149" t="s">
        <v>167</v>
      </c>
      <c r="AD124" s="149" t="s">
        <v>335</v>
      </c>
      <c r="AE124" s="149">
        <v>2000</v>
      </c>
      <c r="AF124" s="149" t="s">
        <v>61</v>
      </c>
    </row>
    <row r="125" spans="26:41" ht="30" x14ac:dyDescent="0.25">
      <c r="AI125" s="149" t="s">
        <v>166</v>
      </c>
      <c r="AJ125" s="149" t="s">
        <v>167</v>
      </c>
      <c r="AM125" s="149" t="s">
        <v>389</v>
      </c>
      <c r="AN125" s="149">
        <v>2000</v>
      </c>
      <c r="AO125" s="149" t="s">
        <v>61</v>
      </c>
    </row>
    <row r="126" spans="26:41" ht="30" x14ac:dyDescent="0.25">
      <c r="AI126" s="149" t="s">
        <v>166</v>
      </c>
      <c r="AJ126" s="149" t="s">
        <v>167</v>
      </c>
      <c r="AM126" s="149" t="s">
        <v>296</v>
      </c>
      <c r="AN126" s="149">
        <v>2000</v>
      </c>
      <c r="AO126" s="149" t="s">
        <v>61</v>
      </c>
    </row>
    <row r="127" spans="26:41" ht="30" x14ac:dyDescent="0.25">
      <c r="AI127" s="149" t="s">
        <v>166</v>
      </c>
      <c r="AJ127" s="149" t="s">
        <v>167</v>
      </c>
      <c r="AM127" s="149" t="s">
        <v>230</v>
      </c>
      <c r="AN127" s="149">
        <v>2000</v>
      </c>
      <c r="AO127" s="149" t="s">
        <v>61</v>
      </c>
    </row>
    <row r="128" spans="26:41" ht="30" x14ac:dyDescent="0.25">
      <c r="Z128" s="149" t="s">
        <v>166</v>
      </c>
      <c r="AA128" s="149" t="s">
        <v>167</v>
      </c>
      <c r="AD128" s="149" t="s">
        <v>401</v>
      </c>
      <c r="AE128" s="149">
        <v>2000</v>
      </c>
      <c r="AF128" s="149" t="s">
        <v>61</v>
      </c>
    </row>
    <row r="129" spans="26:41" ht="30" x14ac:dyDescent="0.25">
      <c r="Z129" s="149" t="s">
        <v>166</v>
      </c>
      <c r="AA129" s="149" t="s">
        <v>167</v>
      </c>
      <c r="AD129" s="149" t="s">
        <v>366</v>
      </c>
      <c r="AE129" s="149">
        <v>2000</v>
      </c>
      <c r="AF129" s="149" t="s">
        <v>61</v>
      </c>
      <c r="AI129" s="149" t="s">
        <v>166</v>
      </c>
      <c r="AJ129" s="149" t="s">
        <v>167</v>
      </c>
      <c r="AM129" s="149" t="s">
        <v>394</v>
      </c>
      <c r="AN129" s="149">
        <v>2000</v>
      </c>
      <c r="AO129" s="149" t="s">
        <v>61</v>
      </c>
    </row>
    <row r="130" spans="26:41" ht="30" x14ac:dyDescent="0.25">
      <c r="Z130" s="149" t="s">
        <v>166</v>
      </c>
      <c r="AA130" s="149" t="s">
        <v>167</v>
      </c>
      <c r="AD130" s="149" t="s">
        <v>279</v>
      </c>
      <c r="AE130" s="149">
        <v>2000</v>
      </c>
      <c r="AF130" s="149" t="s">
        <v>61</v>
      </c>
      <c r="AI130" s="149" t="s">
        <v>166</v>
      </c>
      <c r="AJ130" s="149" t="s">
        <v>167</v>
      </c>
      <c r="AM130" s="149" t="s">
        <v>283</v>
      </c>
      <c r="AN130" s="149">
        <v>2000</v>
      </c>
      <c r="AO130" s="149" t="s">
        <v>61</v>
      </c>
    </row>
    <row r="131" spans="26:41" ht="30" x14ac:dyDescent="0.25">
      <c r="AI131" s="149" t="s">
        <v>166</v>
      </c>
      <c r="AJ131" s="149" t="s">
        <v>167</v>
      </c>
      <c r="AM131" s="149" t="s">
        <v>251</v>
      </c>
      <c r="AN131" s="149">
        <v>2000</v>
      </c>
      <c r="AO131" s="149" t="s">
        <v>61</v>
      </c>
    </row>
    <row r="132" spans="26:41" ht="30" x14ac:dyDescent="0.25">
      <c r="AI132" s="149" t="s">
        <v>166</v>
      </c>
      <c r="AJ132" s="149" t="s">
        <v>167</v>
      </c>
      <c r="AM132" s="149" t="s">
        <v>245</v>
      </c>
      <c r="AN132" s="149">
        <v>2000</v>
      </c>
      <c r="AO132" s="149" t="s">
        <v>61</v>
      </c>
    </row>
    <row r="133" spans="26:41" ht="30" x14ac:dyDescent="0.25">
      <c r="Z133" s="149" t="s">
        <v>166</v>
      </c>
      <c r="AA133" s="149" t="s">
        <v>167</v>
      </c>
      <c r="AD133" s="149" t="s">
        <v>386</v>
      </c>
      <c r="AE133" s="149">
        <v>2000</v>
      </c>
      <c r="AF133" s="149" t="s">
        <v>61</v>
      </c>
      <c r="AI133" s="149" t="s">
        <v>166</v>
      </c>
      <c r="AJ133" s="149" t="s">
        <v>167</v>
      </c>
      <c r="AM133" s="149" t="s">
        <v>428</v>
      </c>
      <c r="AN133" s="149">
        <v>2000</v>
      </c>
      <c r="AO133" s="149" t="s">
        <v>61</v>
      </c>
    </row>
    <row r="134" spans="26:41" ht="30" x14ac:dyDescent="0.25">
      <c r="Z134" s="149" t="s">
        <v>166</v>
      </c>
      <c r="AA134" s="149" t="s">
        <v>167</v>
      </c>
      <c r="AD134" s="149" t="s">
        <v>388</v>
      </c>
      <c r="AE134" s="149">
        <v>2000</v>
      </c>
      <c r="AF134" s="149" t="s">
        <v>61</v>
      </c>
      <c r="AI134" s="149" t="s">
        <v>166</v>
      </c>
      <c r="AJ134" s="149" t="s">
        <v>167</v>
      </c>
      <c r="AM134" s="149" t="s">
        <v>261</v>
      </c>
      <c r="AN134" s="149">
        <v>2000</v>
      </c>
      <c r="AO134" s="149" t="s">
        <v>61</v>
      </c>
    </row>
    <row r="135" spans="26:41" ht="30" x14ac:dyDescent="0.25">
      <c r="Z135" s="149" t="s">
        <v>166</v>
      </c>
      <c r="AA135" s="149" t="s">
        <v>167</v>
      </c>
      <c r="AD135" s="149" t="s">
        <v>338</v>
      </c>
      <c r="AE135" s="149">
        <v>2000</v>
      </c>
      <c r="AF135" s="149" t="s">
        <v>61</v>
      </c>
      <c r="AI135" s="149" t="s">
        <v>166</v>
      </c>
      <c r="AJ135" s="149" t="s">
        <v>167</v>
      </c>
      <c r="AM135" s="149" t="s">
        <v>405</v>
      </c>
      <c r="AN135" s="149">
        <v>2000</v>
      </c>
      <c r="AO135" s="149" t="s">
        <v>61</v>
      </c>
    </row>
    <row r="136" spans="26:41" ht="30" x14ac:dyDescent="0.25">
      <c r="AI136" s="149" t="s">
        <v>166</v>
      </c>
      <c r="AJ136" s="149" t="s">
        <v>167</v>
      </c>
      <c r="AM136" s="149" t="s">
        <v>312</v>
      </c>
      <c r="AN136" s="149">
        <v>2000</v>
      </c>
      <c r="AO136" s="149" t="s">
        <v>61</v>
      </c>
    </row>
    <row r="137" spans="26:41" ht="30" x14ac:dyDescent="0.25">
      <c r="AI137" s="149" t="s">
        <v>166</v>
      </c>
      <c r="AJ137" s="149" t="s">
        <v>167</v>
      </c>
      <c r="AM137" s="149" t="s">
        <v>253</v>
      </c>
      <c r="AN137" s="149">
        <v>2000</v>
      </c>
      <c r="AO137" s="149" t="s">
        <v>61</v>
      </c>
    </row>
    <row r="138" spans="26:41" ht="30" x14ac:dyDescent="0.25">
      <c r="Z138" s="149" t="s">
        <v>166</v>
      </c>
      <c r="AA138" s="149" t="s">
        <v>167</v>
      </c>
      <c r="AD138" s="149" t="s">
        <v>365</v>
      </c>
      <c r="AE138" s="149">
        <v>2000</v>
      </c>
      <c r="AF138" s="149" t="s">
        <v>61</v>
      </c>
    </row>
    <row r="139" spans="26:41" ht="30" x14ac:dyDescent="0.25">
      <c r="Z139" s="149" t="s">
        <v>166</v>
      </c>
      <c r="AA139" s="149" t="s">
        <v>167</v>
      </c>
      <c r="AD139" s="149" t="s">
        <v>362</v>
      </c>
      <c r="AE139" s="149">
        <v>2000</v>
      </c>
      <c r="AF139" s="149" t="s">
        <v>61</v>
      </c>
    </row>
    <row r="140" spans="26:41" ht="30" x14ac:dyDescent="0.25">
      <c r="Z140" s="149" t="s">
        <v>166</v>
      </c>
      <c r="AA140" s="149" t="s">
        <v>167</v>
      </c>
      <c r="AD140" s="149" t="s">
        <v>322</v>
      </c>
      <c r="AE140" s="149">
        <v>2000</v>
      </c>
      <c r="AF140" s="149" t="s">
        <v>61</v>
      </c>
      <c r="AI140" s="149" t="s">
        <v>166</v>
      </c>
      <c r="AJ140" s="149" t="s">
        <v>434</v>
      </c>
      <c r="AM140" s="149" t="s">
        <v>398</v>
      </c>
      <c r="AN140" s="149">
        <v>2000</v>
      </c>
      <c r="AO140" s="149" t="s">
        <v>61</v>
      </c>
    </row>
    <row r="141" spans="26:41" ht="30" x14ac:dyDescent="0.25">
      <c r="Z141" s="149" t="s">
        <v>166</v>
      </c>
      <c r="AA141" s="149" t="s">
        <v>167</v>
      </c>
      <c r="AD141" s="149" t="s">
        <v>301</v>
      </c>
      <c r="AE141" s="149">
        <v>2000</v>
      </c>
      <c r="AF141" s="149" t="s">
        <v>61</v>
      </c>
    </row>
    <row r="142" spans="26:41" ht="30" x14ac:dyDescent="0.25">
      <c r="Z142" s="149" t="s">
        <v>166</v>
      </c>
      <c r="AA142" s="149" t="s">
        <v>167</v>
      </c>
      <c r="AD142" s="149" t="s">
        <v>290</v>
      </c>
      <c r="AE142" s="149">
        <v>2000</v>
      </c>
      <c r="AF142" s="149" t="s">
        <v>61</v>
      </c>
    </row>
    <row r="143" spans="26:41" ht="30" x14ac:dyDescent="0.25">
      <c r="Z143" s="149" t="s">
        <v>166</v>
      </c>
      <c r="AA143" s="149" t="s">
        <v>167</v>
      </c>
      <c r="AD143" s="149" t="s">
        <v>419</v>
      </c>
      <c r="AE143" s="149">
        <v>2000</v>
      </c>
      <c r="AF143" s="149" t="s">
        <v>61</v>
      </c>
      <c r="AI143" s="149" t="s">
        <v>166</v>
      </c>
      <c r="AJ143" s="149" t="s">
        <v>167</v>
      </c>
      <c r="AM143" s="149" t="s">
        <v>429</v>
      </c>
      <c r="AN143" s="149">
        <v>2000</v>
      </c>
      <c r="AO143" s="149" t="s">
        <v>61</v>
      </c>
    </row>
    <row r="144" spans="26:41" ht="30" x14ac:dyDescent="0.25">
      <c r="Z144" s="149" t="s">
        <v>166</v>
      </c>
      <c r="AA144" s="149" t="s">
        <v>167</v>
      </c>
      <c r="AD144" s="149" t="s">
        <v>252</v>
      </c>
      <c r="AE144" s="149">
        <v>2000</v>
      </c>
      <c r="AF144" s="149" t="s">
        <v>61</v>
      </c>
    </row>
    <row r="145" spans="26:41" ht="30" x14ac:dyDescent="0.25">
      <c r="Z145" s="149" t="s">
        <v>166</v>
      </c>
      <c r="AA145" s="149" t="s">
        <v>167</v>
      </c>
      <c r="AD145" s="149" t="s">
        <v>291</v>
      </c>
      <c r="AE145" s="149">
        <v>2000</v>
      </c>
      <c r="AF145" s="149" t="s">
        <v>61</v>
      </c>
    </row>
    <row r="146" spans="26:41" ht="30" x14ac:dyDescent="0.25">
      <c r="Z146" s="149" t="s">
        <v>166</v>
      </c>
      <c r="AA146" s="149" t="s">
        <v>167</v>
      </c>
      <c r="AD146" s="149" t="s">
        <v>244</v>
      </c>
      <c r="AE146" s="149">
        <v>2000</v>
      </c>
      <c r="AF146" s="149" t="s">
        <v>61</v>
      </c>
    </row>
    <row r="147" spans="26:41" ht="30" x14ac:dyDescent="0.25">
      <c r="AI147" s="149" t="s">
        <v>166</v>
      </c>
      <c r="AJ147" s="149" t="s">
        <v>167</v>
      </c>
      <c r="AM147" s="149" t="s">
        <v>336</v>
      </c>
      <c r="AN147" s="149">
        <v>2000</v>
      </c>
      <c r="AO147" s="149" t="s">
        <v>61</v>
      </c>
    </row>
    <row r="148" spans="26:41" ht="30" x14ac:dyDescent="0.25">
      <c r="AI148" s="149" t="s">
        <v>166</v>
      </c>
      <c r="AJ148" s="149" t="s">
        <v>167</v>
      </c>
      <c r="AM148" s="149" t="s">
        <v>385</v>
      </c>
      <c r="AN148" s="149">
        <v>2000</v>
      </c>
      <c r="AO148" s="149" t="s">
        <v>61</v>
      </c>
    </row>
    <row r="149" spans="26:41" ht="30" x14ac:dyDescent="0.25">
      <c r="Z149" s="149" t="s">
        <v>166</v>
      </c>
      <c r="AA149" s="149" t="s">
        <v>167</v>
      </c>
      <c r="AD149" s="149" t="s">
        <v>272</v>
      </c>
      <c r="AE149" s="149">
        <v>2000</v>
      </c>
      <c r="AF149" s="149" t="s">
        <v>61</v>
      </c>
    </row>
    <row r="150" spans="26:41" ht="30" x14ac:dyDescent="0.25">
      <c r="Z150" s="149" t="s">
        <v>166</v>
      </c>
      <c r="AA150" s="149" t="s">
        <v>167</v>
      </c>
      <c r="AD150" s="149" t="s">
        <v>231</v>
      </c>
      <c r="AE150" s="149">
        <v>2000</v>
      </c>
      <c r="AF150" s="149" t="s">
        <v>61</v>
      </c>
    </row>
    <row r="151" spans="26:41" ht="30" x14ac:dyDescent="0.25">
      <c r="AI151" s="149" t="s">
        <v>166</v>
      </c>
      <c r="AJ151" s="149" t="s">
        <v>167</v>
      </c>
      <c r="AM151" s="149" t="s">
        <v>302</v>
      </c>
      <c r="AN151" s="149">
        <v>2000</v>
      </c>
      <c r="AO151" s="149" t="s">
        <v>61</v>
      </c>
    </row>
    <row r="152" spans="26:41" ht="30" x14ac:dyDescent="0.25">
      <c r="Z152" s="149" t="s">
        <v>166</v>
      </c>
      <c r="AA152" s="149" t="s">
        <v>167</v>
      </c>
      <c r="AD152" s="149" t="s">
        <v>353</v>
      </c>
      <c r="AE152" s="149">
        <v>2000</v>
      </c>
      <c r="AF152" s="149" t="s">
        <v>61</v>
      </c>
    </row>
    <row r="153" spans="26:41" ht="30" x14ac:dyDescent="0.25">
      <c r="AI153" s="149" t="s">
        <v>166</v>
      </c>
      <c r="AJ153" s="149" t="s">
        <v>167</v>
      </c>
      <c r="AM153" s="149" t="s">
        <v>295</v>
      </c>
      <c r="AN153" s="149">
        <v>2000</v>
      </c>
      <c r="AO153" s="149" t="s">
        <v>61</v>
      </c>
    </row>
    <row r="154" spans="26:41" ht="30" x14ac:dyDescent="0.25">
      <c r="Z154" s="149" t="s">
        <v>166</v>
      </c>
      <c r="AA154" s="149" t="s">
        <v>167</v>
      </c>
      <c r="AD154" s="149" t="s">
        <v>270</v>
      </c>
      <c r="AE154" s="149">
        <v>2000</v>
      </c>
      <c r="AF154" s="149" t="s">
        <v>61</v>
      </c>
    </row>
    <row r="155" spans="26:41" ht="30" x14ac:dyDescent="0.25">
      <c r="Z155" s="149" t="s">
        <v>166</v>
      </c>
      <c r="AA155" s="149" t="s">
        <v>167</v>
      </c>
      <c r="AD155" s="149" t="s">
        <v>373</v>
      </c>
      <c r="AE155" s="149">
        <v>2000</v>
      </c>
      <c r="AF155" s="149" t="s">
        <v>61</v>
      </c>
      <c r="AI155" s="149" t="s">
        <v>166</v>
      </c>
      <c r="AJ155" s="149" t="s">
        <v>167</v>
      </c>
      <c r="AM155" s="149" t="s">
        <v>427</v>
      </c>
      <c r="AN155" s="149">
        <v>2000</v>
      </c>
      <c r="AO155" s="149" t="s">
        <v>61</v>
      </c>
    </row>
    <row r="156" spans="26:41" ht="30" x14ac:dyDescent="0.25">
      <c r="Z156" s="149" t="s">
        <v>166</v>
      </c>
      <c r="AA156" s="149" t="s">
        <v>167</v>
      </c>
      <c r="AD156" s="149" t="s">
        <v>367</v>
      </c>
      <c r="AE156" s="149">
        <v>2000</v>
      </c>
      <c r="AF156" s="149" t="s">
        <v>61</v>
      </c>
    </row>
    <row r="157" spans="26:41" ht="30" x14ac:dyDescent="0.25">
      <c r="Z157" s="149" t="s">
        <v>166</v>
      </c>
      <c r="AA157" s="149" t="s">
        <v>167</v>
      </c>
      <c r="AD157" s="149" t="s">
        <v>376</v>
      </c>
      <c r="AE157" s="149">
        <v>2000</v>
      </c>
      <c r="AF157" s="149" t="s">
        <v>61</v>
      </c>
    </row>
    <row r="158" spans="26:41" ht="30" x14ac:dyDescent="0.25">
      <c r="AI158" s="149" t="s">
        <v>166</v>
      </c>
      <c r="AJ158" s="149" t="s">
        <v>167</v>
      </c>
      <c r="AM158" s="149" t="s">
        <v>237</v>
      </c>
      <c r="AN158" s="149">
        <v>2000</v>
      </c>
      <c r="AO158" s="149" t="s">
        <v>61</v>
      </c>
    </row>
    <row r="159" spans="26:41" ht="30" x14ac:dyDescent="0.25">
      <c r="Z159" s="149" t="s">
        <v>166</v>
      </c>
      <c r="AA159" s="149" t="s">
        <v>167</v>
      </c>
      <c r="AD159" s="149" t="s">
        <v>324</v>
      </c>
      <c r="AE159" s="149">
        <v>2000</v>
      </c>
      <c r="AF159" s="149" t="s">
        <v>61</v>
      </c>
    </row>
    <row r="160" spans="26:41" ht="30" x14ac:dyDescent="0.25">
      <c r="Z160" s="149" t="s">
        <v>166</v>
      </c>
      <c r="AA160" s="149" t="s">
        <v>167</v>
      </c>
      <c r="AD160" s="149" t="s">
        <v>294</v>
      </c>
      <c r="AE160" s="149">
        <v>2000</v>
      </c>
      <c r="AF160" s="149" t="s">
        <v>61</v>
      </c>
      <c r="AI160" s="149" t="s">
        <v>166</v>
      </c>
      <c r="AJ160" s="149" t="s">
        <v>167</v>
      </c>
      <c r="AM160" s="149" t="s">
        <v>268</v>
      </c>
      <c r="AN160" s="149">
        <v>2000</v>
      </c>
      <c r="AO160" s="149" t="s">
        <v>61</v>
      </c>
    </row>
    <row r="161" spans="26:41" ht="30" x14ac:dyDescent="0.25">
      <c r="AI161" s="149" t="s">
        <v>166</v>
      </c>
      <c r="AJ161" s="149" t="s">
        <v>167</v>
      </c>
      <c r="AM161" s="149" t="s">
        <v>380</v>
      </c>
      <c r="AN161" s="149">
        <v>2000</v>
      </c>
      <c r="AO161" s="149" t="s">
        <v>61</v>
      </c>
    </row>
    <row r="162" spans="26:41" ht="30" x14ac:dyDescent="0.25">
      <c r="Z162" s="149" t="s">
        <v>166</v>
      </c>
      <c r="AA162" s="149" t="s">
        <v>167</v>
      </c>
      <c r="AD162" s="149" t="s">
        <v>363</v>
      </c>
      <c r="AE162" s="149">
        <v>2000</v>
      </c>
      <c r="AF162" s="149" t="s">
        <v>61</v>
      </c>
      <c r="AI162" s="149" t="s">
        <v>166</v>
      </c>
      <c r="AJ162" s="149" t="s">
        <v>167</v>
      </c>
      <c r="AM162" s="149" t="s">
        <v>377</v>
      </c>
      <c r="AN162" s="149">
        <v>2000</v>
      </c>
      <c r="AO162" s="149" t="s">
        <v>61</v>
      </c>
    </row>
    <row r="163" spans="26:41" ht="30" x14ac:dyDescent="0.25">
      <c r="Z163" s="149" t="s">
        <v>166</v>
      </c>
      <c r="AA163" s="149" t="s">
        <v>167</v>
      </c>
      <c r="AD163" s="149" t="s">
        <v>426</v>
      </c>
      <c r="AE163" s="149">
        <v>2000</v>
      </c>
      <c r="AF163" s="149" t="s">
        <v>61</v>
      </c>
    </row>
    <row r="164" spans="26:41" ht="30" x14ac:dyDescent="0.25">
      <c r="Z164" s="149" t="s">
        <v>166</v>
      </c>
      <c r="AA164" s="149" t="s">
        <v>167</v>
      </c>
      <c r="AD164" s="149" t="s">
        <v>248</v>
      </c>
      <c r="AE164" s="149">
        <v>2000</v>
      </c>
      <c r="AF164" s="149" t="s">
        <v>61</v>
      </c>
    </row>
    <row r="165" spans="26:41" ht="30" x14ac:dyDescent="0.25">
      <c r="AI165" s="149" t="s">
        <v>166</v>
      </c>
      <c r="AJ165" s="149" t="s">
        <v>167</v>
      </c>
      <c r="AM165" s="149" t="s">
        <v>285</v>
      </c>
      <c r="AN165" s="149">
        <v>2000</v>
      </c>
      <c r="AO165" s="149" t="s">
        <v>61</v>
      </c>
    </row>
    <row r="166" spans="26:41" ht="30" x14ac:dyDescent="0.25">
      <c r="Z166" s="149" t="s">
        <v>166</v>
      </c>
      <c r="AA166" s="149" t="s">
        <v>167</v>
      </c>
      <c r="AD166" s="149" t="s">
        <v>306</v>
      </c>
      <c r="AE166" s="149">
        <v>2000</v>
      </c>
      <c r="AF166" s="149" t="s">
        <v>61</v>
      </c>
      <c r="AI166" s="149" t="s">
        <v>166</v>
      </c>
      <c r="AJ166" s="149" t="s">
        <v>167</v>
      </c>
      <c r="AM166" s="149" t="s">
        <v>361</v>
      </c>
      <c r="AN166" s="149">
        <v>2000</v>
      </c>
      <c r="AO166" s="149" t="s">
        <v>61</v>
      </c>
    </row>
    <row r="167" spans="26:41" ht="30" x14ac:dyDescent="0.25">
      <c r="Z167" s="149" t="s">
        <v>166</v>
      </c>
      <c r="AA167" s="149" t="s">
        <v>167</v>
      </c>
      <c r="AD167" s="149" t="s">
        <v>308</v>
      </c>
      <c r="AE167" s="149">
        <v>2000</v>
      </c>
      <c r="AF167" s="149" t="s">
        <v>61</v>
      </c>
      <c r="AI167" s="149" t="s">
        <v>166</v>
      </c>
      <c r="AJ167" s="149" t="s">
        <v>167</v>
      </c>
      <c r="AM167" s="149" t="s">
        <v>342</v>
      </c>
      <c r="AN167" s="149">
        <v>2000</v>
      </c>
      <c r="AO167" s="149" t="s">
        <v>61</v>
      </c>
    </row>
    <row r="168" spans="26:41" ht="30" x14ac:dyDescent="0.25">
      <c r="Z168" s="149" t="s">
        <v>166</v>
      </c>
      <c r="AA168" s="149" t="s">
        <v>167</v>
      </c>
      <c r="AD168" s="149" t="s">
        <v>239</v>
      </c>
      <c r="AE168" s="149">
        <v>2000</v>
      </c>
      <c r="AF168" s="149" t="s">
        <v>61</v>
      </c>
    </row>
    <row r="169" spans="26:41" ht="30" x14ac:dyDescent="0.25">
      <c r="AI169" s="149" t="s">
        <v>166</v>
      </c>
      <c r="AJ169" s="149" t="s">
        <v>167</v>
      </c>
      <c r="AM169" s="149" t="s">
        <v>387</v>
      </c>
      <c r="AN169" s="149">
        <v>2000</v>
      </c>
      <c r="AO169" s="149" t="s">
        <v>61</v>
      </c>
    </row>
    <row r="170" spans="26:41" ht="30" x14ac:dyDescent="0.25">
      <c r="AI170" s="149" t="s">
        <v>166</v>
      </c>
      <c r="AJ170" s="149" t="s">
        <v>167</v>
      </c>
      <c r="AM170" s="149" t="s">
        <v>275</v>
      </c>
      <c r="AN170" s="149">
        <v>2000</v>
      </c>
      <c r="AO170" s="149" t="s">
        <v>61</v>
      </c>
    </row>
    <row r="171" spans="26:41" ht="30" x14ac:dyDescent="0.25">
      <c r="Z171" s="149" t="s">
        <v>166</v>
      </c>
      <c r="AA171" s="149" t="s">
        <v>167</v>
      </c>
      <c r="AD171" s="149" t="s">
        <v>250</v>
      </c>
      <c r="AE171" s="149">
        <v>2000</v>
      </c>
      <c r="AF171" s="149" t="s">
        <v>61</v>
      </c>
    </row>
    <row r="172" spans="26:41" ht="30" x14ac:dyDescent="0.25">
      <c r="AI172" s="149" t="s">
        <v>166</v>
      </c>
      <c r="AJ172" s="149" t="s">
        <v>167</v>
      </c>
      <c r="AM172" s="149" t="s">
        <v>392</v>
      </c>
      <c r="AN172" s="149">
        <v>2000</v>
      </c>
      <c r="AO172" s="149" t="s">
        <v>61</v>
      </c>
    </row>
    <row r="173" spans="26:41" ht="30" x14ac:dyDescent="0.25">
      <c r="Z173" s="149" t="s">
        <v>166</v>
      </c>
      <c r="AA173" s="149" t="s">
        <v>167</v>
      </c>
      <c r="AD173" s="149" t="s">
        <v>350</v>
      </c>
      <c r="AE173" s="149">
        <v>2000</v>
      </c>
      <c r="AF173" s="149" t="s">
        <v>61</v>
      </c>
    </row>
    <row r="174" spans="26:41" ht="30" x14ac:dyDescent="0.25">
      <c r="AI174" s="149" t="s">
        <v>166</v>
      </c>
      <c r="AJ174" s="149" t="s">
        <v>167</v>
      </c>
      <c r="AM174" s="149" t="s">
        <v>333</v>
      </c>
      <c r="AN174" s="149">
        <v>2000</v>
      </c>
      <c r="AO174" s="149" t="s">
        <v>61</v>
      </c>
    </row>
    <row r="175" spans="26:41" ht="30" x14ac:dyDescent="0.25">
      <c r="Z175" s="149" t="s">
        <v>166</v>
      </c>
      <c r="AA175" s="149" t="s">
        <v>167</v>
      </c>
      <c r="AD175" s="149" t="s">
        <v>356</v>
      </c>
      <c r="AE175" s="149">
        <v>2000</v>
      </c>
      <c r="AF175" s="149" t="s">
        <v>61</v>
      </c>
    </row>
    <row r="176" spans="26:41" ht="30" x14ac:dyDescent="0.25">
      <c r="Z176" s="149" t="s">
        <v>166</v>
      </c>
      <c r="AA176" s="149" t="s">
        <v>167</v>
      </c>
      <c r="AD176" s="149" t="s">
        <v>364</v>
      </c>
      <c r="AE176" s="149">
        <v>2000</v>
      </c>
      <c r="AF176" s="149" t="s">
        <v>61</v>
      </c>
    </row>
    <row r="177" spans="26:41" ht="30" x14ac:dyDescent="0.25">
      <c r="Z177" s="149" t="s">
        <v>166</v>
      </c>
      <c r="AA177" s="149" t="s">
        <v>167</v>
      </c>
      <c r="AD177" s="149" t="s">
        <v>273</v>
      </c>
      <c r="AE177" s="149">
        <v>2000</v>
      </c>
      <c r="AF177" s="149" t="s">
        <v>61</v>
      </c>
    </row>
    <row r="178" spans="26:41" ht="30" x14ac:dyDescent="0.25">
      <c r="Z178" s="149" t="s">
        <v>166</v>
      </c>
      <c r="AA178" s="149" t="s">
        <v>167</v>
      </c>
      <c r="AD178" s="149" t="s">
        <v>292</v>
      </c>
      <c r="AE178" s="149">
        <v>2000</v>
      </c>
      <c r="AF178" s="149" t="s">
        <v>61</v>
      </c>
    </row>
    <row r="179" spans="26:41" ht="30" x14ac:dyDescent="0.25">
      <c r="AI179" s="149" t="s">
        <v>166</v>
      </c>
      <c r="AJ179" s="149" t="s">
        <v>167</v>
      </c>
      <c r="AM179" s="149" t="s">
        <v>243</v>
      </c>
      <c r="AN179" s="149">
        <v>2000</v>
      </c>
      <c r="AO179" s="149" t="s">
        <v>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1"/>
  <sheetViews>
    <sheetView workbookViewId="0">
      <selection activeCell="E14" sqref="E14"/>
    </sheetView>
  </sheetViews>
  <sheetFormatPr defaultRowHeight="15" x14ac:dyDescent="0.25"/>
  <cols>
    <col min="1" max="1" width="14.5703125" style="149" customWidth="1"/>
    <col min="2" max="2" width="6.85546875" style="149" customWidth="1"/>
    <col min="3" max="3" width="9.85546875" style="149" customWidth="1"/>
    <col min="4" max="4" width="12" style="149" customWidth="1"/>
    <col min="5" max="5" width="12.85546875" style="149" customWidth="1"/>
    <col min="6" max="6" width="17" style="149" customWidth="1"/>
    <col min="7" max="8" width="9.140625" style="149"/>
    <col min="9" max="9" width="16" style="149" customWidth="1"/>
    <col min="10" max="10" width="16.28515625" style="149" customWidth="1"/>
    <col min="11" max="11" width="22.28515625" style="149" customWidth="1"/>
    <col min="12" max="16384" width="9.140625" style="149"/>
  </cols>
  <sheetData>
    <row r="1" spans="1:11" x14ac:dyDescent="0.25">
      <c r="A1" s="155" t="s">
        <v>37</v>
      </c>
      <c r="B1" s="155" t="s">
        <v>15</v>
      </c>
      <c r="C1" s="155" t="s">
        <v>38</v>
      </c>
      <c r="D1" s="155" t="s">
        <v>14</v>
      </c>
      <c r="E1" s="155" t="s">
        <v>16</v>
      </c>
      <c r="F1" s="155" t="s">
        <v>10</v>
      </c>
      <c r="G1" s="155" t="s">
        <v>11</v>
      </c>
      <c r="H1" s="155" t="s">
        <v>12</v>
      </c>
      <c r="I1" s="155" t="s">
        <v>118</v>
      </c>
      <c r="J1" s="155" t="s">
        <v>50</v>
      </c>
      <c r="K1" s="155" t="s">
        <v>460</v>
      </c>
    </row>
    <row r="2" spans="1:11" x14ac:dyDescent="0.25">
      <c r="A2" s="149" t="s">
        <v>495</v>
      </c>
      <c r="B2" s="149" t="s">
        <v>162</v>
      </c>
      <c r="C2" s="149" t="s">
        <v>61</v>
      </c>
      <c r="D2" s="149">
        <v>2000</v>
      </c>
      <c r="E2" s="149" t="s">
        <v>163</v>
      </c>
      <c r="F2" s="149" t="s">
        <v>470</v>
      </c>
      <c r="G2" s="149" t="s">
        <v>111</v>
      </c>
      <c r="H2" s="149" t="s">
        <v>115</v>
      </c>
      <c r="I2" s="149" t="s">
        <v>472</v>
      </c>
      <c r="J2" s="149" t="s">
        <v>61</v>
      </c>
      <c r="K2" s="149">
        <v>17000</v>
      </c>
    </row>
    <row r="3" spans="1:11" x14ac:dyDescent="0.25">
      <c r="A3" s="149" t="s">
        <v>493</v>
      </c>
      <c r="B3" s="149" t="s">
        <v>162</v>
      </c>
      <c r="C3" s="149" t="s">
        <v>61</v>
      </c>
      <c r="D3" s="149">
        <v>2000</v>
      </c>
      <c r="E3" s="149" t="s">
        <v>163</v>
      </c>
      <c r="F3" s="149" t="s">
        <v>470</v>
      </c>
      <c r="G3" s="149" t="s">
        <v>111</v>
      </c>
      <c r="H3" s="149" t="s">
        <v>115</v>
      </c>
      <c r="I3" s="149" t="s">
        <v>472</v>
      </c>
      <c r="J3" s="149" t="s">
        <v>61</v>
      </c>
      <c r="K3" s="149">
        <v>17000</v>
      </c>
    </row>
    <row r="4" spans="1:11" x14ac:dyDescent="0.25">
      <c r="A4" s="149" t="s">
        <v>498</v>
      </c>
      <c r="B4" s="149" t="s">
        <v>162</v>
      </c>
      <c r="C4" s="149" t="s">
        <v>61</v>
      </c>
      <c r="D4" s="149">
        <v>4000</v>
      </c>
      <c r="E4" s="149" t="s">
        <v>163</v>
      </c>
      <c r="F4" s="149" t="s">
        <v>470</v>
      </c>
      <c r="G4" s="149" t="s">
        <v>111</v>
      </c>
      <c r="H4" s="149" t="s">
        <v>115</v>
      </c>
      <c r="I4" s="149" t="s">
        <v>472</v>
      </c>
      <c r="J4" s="149" t="s">
        <v>61</v>
      </c>
      <c r="K4" s="149">
        <v>18000</v>
      </c>
    </row>
    <row r="5" spans="1:11" x14ac:dyDescent="0.25">
      <c r="A5" s="149" t="s">
        <v>499</v>
      </c>
      <c r="B5" s="149" t="s">
        <v>162</v>
      </c>
      <c r="C5" s="149" t="s">
        <v>61</v>
      </c>
      <c r="D5" s="149">
        <v>4000</v>
      </c>
      <c r="E5" s="149" t="s">
        <v>163</v>
      </c>
      <c r="F5" s="149" t="s">
        <v>470</v>
      </c>
      <c r="G5" s="149" t="s">
        <v>111</v>
      </c>
      <c r="H5" s="149" t="s">
        <v>115</v>
      </c>
      <c r="I5" s="149" t="s">
        <v>472</v>
      </c>
      <c r="J5" s="149" t="s">
        <v>61</v>
      </c>
      <c r="K5" s="149">
        <v>18000</v>
      </c>
    </row>
    <row r="6" spans="1:11" x14ac:dyDescent="0.25">
      <c r="A6" s="149" t="s">
        <v>502</v>
      </c>
      <c r="B6" s="149" t="s">
        <v>162</v>
      </c>
      <c r="C6" s="149" t="s">
        <v>61</v>
      </c>
      <c r="D6" s="149">
        <v>4000</v>
      </c>
      <c r="E6" s="149" t="s">
        <v>163</v>
      </c>
      <c r="F6" s="149" t="s">
        <v>470</v>
      </c>
      <c r="G6" s="149" t="s">
        <v>111</v>
      </c>
      <c r="H6" s="149" t="s">
        <v>115</v>
      </c>
      <c r="I6" s="149" t="s">
        <v>472</v>
      </c>
      <c r="J6" s="149" t="s">
        <v>61</v>
      </c>
      <c r="K6" s="149">
        <v>18000</v>
      </c>
    </row>
    <row r="7" spans="1:11" x14ac:dyDescent="0.25">
      <c r="A7" s="149" t="s">
        <v>494</v>
      </c>
      <c r="B7" s="149" t="s">
        <v>162</v>
      </c>
      <c r="C7" s="149" t="s">
        <v>61</v>
      </c>
      <c r="D7" s="149">
        <v>2000</v>
      </c>
      <c r="E7" s="149" t="s">
        <v>163</v>
      </c>
      <c r="F7" s="149" t="s">
        <v>470</v>
      </c>
      <c r="G7" s="149" t="s">
        <v>111</v>
      </c>
      <c r="H7" s="149" t="s">
        <v>115</v>
      </c>
      <c r="I7" s="149" t="s">
        <v>472</v>
      </c>
      <c r="J7" s="149" t="s">
        <v>61</v>
      </c>
      <c r="K7" s="149">
        <v>17000</v>
      </c>
    </row>
    <row r="8" spans="1:11" x14ac:dyDescent="0.25">
      <c r="A8" s="149" t="s">
        <v>501</v>
      </c>
      <c r="B8" s="149" t="s">
        <v>162</v>
      </c>
      <c r="C8" s="149" t="s">
        <v>61</v>
      </c>
      <c r="D8" s="149">
        <v>4000</v>
      </c>
      <c r="E8" s="149" t="s">
        <v>163</v>
      </c>
      <c r="F8" s="149" t="s">
        <v>470</v>
      </c>
      <c r="G8" s="149" t="s">
        <v>111</v>
      </c>
      <c r="H8" s="149" t="s">
        <v>115</v>
      </c>
      <c r="I8" s="149" t="s">
        <v>472</v>
      </c>
      <c r="J8" s="149" t="s">
        <v>61</v>
      </c>
      <c r="K8" s="149">
        <v>18000</v>
      </c>
    </row>
    <row r="9" spans="1:11" x14ac:dyDescent="0.25">
      <c r="A9" s="149" t="s">
        <v>497</v>
      </c>
      <c r="B9" s="149" t="s">
        <v>162</v>
      </c>
      <c r="C9" s="149" t="s">
        <v>61</v>
      </c>
      <c r="D9" s="149">
        <v>2000</v>
      </c>
      <c r="E9" s="149" t="s">
        <v>163</v>
      </c>
      <c r="F9" s="149" t="s">
        <v>470</v>
      </c>
      <c r="G9" s="149" t="s">
        <v>111</v>
      </c>
      <c r="H9" s="149" t="s">
        <v>115</v>
      </c>
      <c r="I9" s="149" t="s">
        <v>472</v>
      </c>
      <c r="J9" s="149" t="s">
        <v>61</v>
      </c>
      <c r="K9" s="149">
        <v>17000</v>
      </c>
    </row>
    <row r="10" spans="1:11" x14ac:dyDescent="0.25">
      <c r="A10" s="149" t="s">
        <v>500</v>
      </c>
      <c r="B10" s="149" t="s">
        <v>162</v>
      </c>
      <c r="C10" s="149" t="s">
        <v>61</v>
      </c>
      <c r="D10" s="149">
        <v>4000</v>
      </c>
      <c r="E10" s="149" t="s">
        <v>163</v>
      </c>
      <c r="F10" s="149" t="s">
        <v>470</v>
      </c>
      <c r="G10" s="149" t="s">
        <v>111</v>
      </c>
      <c r="H10" s="149" t="s">
        <v>115</v>
      </c>
      <c r="I10" s="149" t="s">
        <v>472</v>
      </c>
      <c r="J10" s="149" t="s">
        <v>61</v>
      </c>
      <c r="K10" s="149">
        <v>18000</v>
      </c>
    </row>
    <row r="11" spans="1:11" x14ac:dyDescent="0.25">
      <c r="A11" s="149" t="s">
        <v>496</v>
      </c>
      <c r="B11" s="149" t="s">
        <v>162</v>
      </c>
      <c r="C11" s="149" t="s">
        <v>61</v>
      </c>
      <c r="D11" s="149">
        <v>2000</v>
      </c>
      <c r="E11" s="149" t="s">
        <v>163</v>
      </c>
      <c r="F11" s="149" t="s">
        <v>470</v>
      </c>
      <c r="G11" s="149" t="s">
        <v>111</v>
      </c>
      <c r="H11" s="149" t="s">
        <v>115</v>
      </c>
      <c r="I11" s="149" t="s">
        <v>472</v>
      </c>
      <c r="J11" s="149" t="s">
        <v>61</v>
      </c>
      <c r="K11" s="149">
        <v>17000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04"/>
  <sheetViews>
    <sheetView workbookViewId="0">
      <selection activeCell="A2" sqref="A2:XFD12"/>
    </sheetView>
  </sheetViews>
  <sheetFormatPr defaultRowHeight="15" x14ac:dyDescent="0.25"/>
  <cols>
    <col min="1" max="1" width="19" style="25" customWidth="1"/>
    <col min="2" max="7" width="9.140625" style="25"/>
    <col min="8" max="8" width="22.42578125" style="25" customWidth="1"/>
    <col min="9" max="16384" width="9.140625" style="25"/>
  </cols>
  <sheetData>
    <row r="1" spans="1:8" ht="26.25" x14ac:dyDescent="0.25">
      <c r="A1" s="22" t="s">
        <v>37</v>
      </c>
      <c r="B1" s="23" t="s">
        <v>15</v>
      </c>
      <c r="C1" s="24" t="s">
        <v>38</v>
      </c>
      <c r="D1" s="23" t="s">
        <v>14</v>
      </c>
      <c r="E1" s="23" t="s">
        <v>16</v>
      </c>
      <c r="F1" s="23" t="s">
        <v>39</v>
      </c>
      <c r="G1" s="23" t="s">
        <v>40</v>
      </c>
      <c r="H1" s="23" t="s">
        <v>50</v>
      </c>
    </row>
    <row r="2" spans="1:8" x14ac:dyDescent="0.25">
      <c r="A2" s="25" t="s">
        <v>289</v>
      </c>
      <c r="B2" s="25" t="s">
        <v>226</v>
      </c>
      <c r="C2" s="25" t="s">
        <v>61</v>
      </c>
      <c r="D2" s="25" t="s">
        <v>227</v>
      </c>
      <c r="E2" s="25" t="s">
        <v>228</v>
      </c>
      <c r="F2" s="25" t="s">
        <v>229</v>
      </c>
    </row>
    <row r="3" spans="1:8" x14ac:dyDescent="0.25">
      <c r="A3" s="25" t="s">
        <v>314</v>
      </c>
      <c r="B3" s="25" t="s">
        <v>226</v>
      </c>
      <c r="C3" s="25" t="s">
        <v>61</v>
      </c>
      <c r="D3" s="25" t="s">
        <v>227</v>
      </c>
      <c r="E3" s="25" t="s">
        <v>228</v>
      </c>
      <c r="F3" s="25" t="s">
        <v>229</v>
      </c>
    </row>
    <row r="4" spans="1:8" x14ac:dyDescent="0.25">
      <c r="A4" s="25" t="s">
        <v>298</v>
      </c>
      <c r="B4" s="25" t="s">
        <v>226</v>
      </c>
      <c r="C4" s="25" t="s">
        <v>61</v>
      </c>
      <c r="D4" s="25" t="s">
        <v>227</v>
      </c>
      <c r="E4" s="25" t="s">
        <v>228</v>
      </c>
      <c r="F4" s="25" t="s">
        <v>229</v>
      </c>
    </row>
    <row r="5" spans="1:8" x14ac:dyDescent="0.25">
      <c r="A5" s="25" t="s">
        <v>233</v>
      </c>
      <c r="B5" s="25" t="s">
        <v>226</v>
      </c>
      <c r="C5" s="25" t="s">
        <v>61</v>
      </c>
      <c r="D5" s="25" t="s">
        <v>227</v>
      </c>
      <c r="E5" s="25" t="s">
        <v>228</v>
      </c>
      <c r="F5" s="25" t="s">
        <v>229</v>
      </c>
    </row>
    <row r="6" spans="1:8" x14ac:dyDescent="0.25">
      <c r="A6" s="25" t="s">
        <v>316</v>
      </c>
      <c r="B6" s="25" t="s">
        <v>226</v>
      </c>
      <c r="C6" s="25" t="s">
        <v>61</v>
      </c>
      <c r="D6" s="25" t="s">
        <v>227</v>
      </c>
      <c r="E6" s="25" t="s">
        <v>228</v>
      </c>
      <c r="F6" s="25" t="s">
        <v>229</v>
      </c>
    </row>
    <row r="7" spans="1:8" x14ac:dyDescent="0.25">
      <c r="A7" s="25" t="s">
        <v>234</v>
      </c>
      <c r="B7" s="25" t="s">
        <v>226</v>
      </c>
      <c r="C7" s="25" t="s">
        <v>61</v>
      </c>
      <c r="D7" s="25" t="s">
        <v>227</v>
      </c>
      <c r="E7" s="25" t="s">
        <v>228</v>
      </c>
      <c r="F7" s="25" t="s">
        <v>229</v>
      </c>
    </row>
    <row r="8" spans="1:8" x14ac:dyDescent="0.25">
      <c r="A8" s="25" t="s">
        <v>359</v>
      </c>
      <c r="B8" s="25" t="s">
        <v>226</v>
      </c>
      <c r="C8" s="25" t="s">
        <v>61</v>
      </c>
      <c r="D8" s="25" t="s">
        <v>227</v>
      </c>
      <c r="E8" s="25" t="s">
        <v>228</v>
      </c>
      <c r="F8" s="25" t="s">
        <v>229</v>
      </c>
    </row>
    <row r="9" spans="1:8" x14ac:dyDescent="0.25">
      <c r="A9" s="25" t="s">
        <v>345</v>
      </c>
      <c r="B9" s="25" t="s">
        <v>226</v>
      </c>
      <c r="C9" s="25" t="s">
        <v>61</v>
      </c>
      <c r="D9" s="25" t="s">
        <v>227</v>
      </c>
      <c r="E9" s="25" t="s">
        <v>228</v>
      </c>
      <c r="F9" s="25" t="s">
        <v>229</v>
      </c>
    </row>
    <row r="10" spans="1:8" x14ac:dyDescent="0.25">
      <c r="A10" s="25" t="s">
        <v>315</v>
      </c>
      <c r="B10" s="25" t="s">
        <v>226</v>
      </c>
      <c r="C10" s="25" t="s">
        <v>61</v>
      </c>
      <c r="D10" s="25" t="s">
        <v>227</v>
      </c>
      <c r="E10" s="25" t="s">
        <v>228</v>
      </c>
      <c r="F10" s="25" t="s">
        <v>229</v>
      </c>
    </row>
    <row r="11" spans="1:8" x14ac:dyDescent="0.25">
      <c r="A11" s="25" t="s">
        <v>225</v>
      </c>
      <c r="B11" s="25" t="s">
        <v>226</v>
      </c>
      <c r="C11" s="25" t="s">
        <v>61</v>
      </c>
      <c r="D11" s="25" t="s">
        <v>227</v>
      </c>
      <c r="E11" s="25" t="s">
        <v>228</v>
      </c>
      <c r="F11" s="25" t="s">
        <v>229</v>
      </c>
    </row>
    <row r="12" spans="1:8" x14ac:dyDescent="0.25">
      <c r="A12" s="25" t="s">
        <v>369</v>
      </c>
      <c r="B12" s="25" t="s">
        <v>226</v>
      </c>
      <c r="C12" s="25" t="s">
        <v>61</v>
      </c>
      <c r="D12" s="25" t="s">
        <v>227</v>
      </c>
      <c r="E12" s="25" t="s">
        <v>228</v>
      </c>
      <c r="F12" s="25" t="s">
        <v>229</v>
      </c>
    </row>
    <row r="13" spans="1:8" x14ac:dyDescent="0.25">
      <c r="A13" s="25" t="s">
        <v>282</v>
      </c>
      <c r="B13" s="25" t="s">
        <v>226</v>
      </c>
      <c r="C13" s="25" t="s">
        <v>61</v>
      </c>
      <c r="D13" s="25" t="s">
        <v>227</v>
      </c>
      <c r="E13" s="25" t="s">
        <v>228</v>
      </c>
      <c r="F13" s="25" t="s">
        <v>229</v>
      </c>
    </row>
    <row r="14" spans="1:8" x14ac:dyDescent="0.25">
      <c r="A14" s="25" t="s">
        <v>422</v>
      </c>
      <c r="B14" s="25" t="s">
        <v>226</v>
      </c>
      <c r="C14" s="25" t="s">
        <v>61</v>
      </c>
      <c r="D14" s="25" t="s">
        <v>227</v>
      </c>
      <c r="E14" s="25" t="s">
        <v>228</v>
      </c>
      <c r="F14" s="25" t="s">
        <v>229</v>
      </c>
    </row>
    <row r="15" spans="1:8" x14ac:dyDescent="0.25">
      <c r="A15" s="25" t="s">
        <v>413</v>
      </c>
      <c r="B15" s="25" t="s">
        <v>226</v>
      </c>
      <c r="C15" s="25" t="s">
        <v>61</v>
      </c>
      <c r="D15" s="25" t="s">
        <v>227</v>
      </c>
      <c r="E15" s="25" t="s">
        <v>228</v>
      </c>
      <c r="F15" s="25" t="s">
        <v>229</v>
      </c>
    </row>
    <row r="16" spans="1:8" x14ac:dyDescent="0.25">
      <c r="A16" s="25" t="s">
        <v>254</v>
      </c>
      <c r="B16" s="25" t="s">
        <v>226</v>
      </c>
      <c r="C16" s="25" t="s">
        <v>61</v>
      </c>
      <c r="D16" s="25" t="s">
        <v>227</v>
      </c>
      <c r="E16" s="25" t="s">
        <v>228</v>
      </c>
      <c r="F16" s="25" t="s">
        <v>229</v>
      </c>
    </row>
    <row r="17" spans="1:6" x14ac:dyDescent="0.25">
      <c r="A17" s="25" t="s">
        <v>378</v>
      </c>
      <c r="B17" s="25" t="s">
        <v>226</v>
      </c>
      <c r="C17" s="25" t="s">
        <v>61</v>
      </c>
      <c r="D17" s="25" t="s">
        <v>227</v>
      </c>
      <c r="E17" s="25" t="s">
        <v>228</v>
      </c>
      <c r="F17" s="25" t="s">
        <v>229</v>
      </c>
    </row>
    <row r="18" spans="1:6" x14ac:dyDescent="0.25">
      <c r="A18" s="25" t="s">
        <v>263</v>
      </c>
      <c r="B18" s="25" t="s">
        <v>226</v>
      </c>
      <c r="C18" s="25" t="s">
        <v>61</v>
      </c>
      <c r="D18" s="25" t="s">
        <v>227</v>
      </c>
      <c r="E18" s="25" t="s">
        <v>228</v>
      </c>
      <c r="F18" s="25" t="s">
        <v>229</v>
      </c>
    </row>
    <row r="19" spans="1:6" x14ac:dyDescent="0.25">
      <c r="A19" s="25" t="s">
        <v>304</v>
      </c>
      <c r="B19" s="25" t="s">
        <v>226</v>
      </c>
      <c r="C19" s="25" t="s">
        <v>61</v>
      </c>
      <c r="D19" s="25" t="s">
        <v>227</v>
      </c>
      <c r="E19" s="25" t="s">
        <v>228</v>
      </c>
      <c r="F19" s="25" t="s">
        <v>229</v>
      </c>
    </row>
    <row r="20" spans="1:6" x14ac:dyDescent="0.25">
      <c r="A20" s="25" t="s">
        <v>274</v>
      </c>
      <c r="B20" s="25" t="s">
        <v>226</v>
      </c>
      <c r="C20" s="25" t="s">
        <v>61</v>
      </c>
      <c r="D20" s="25" t="s">
        <v>227</v>
      </c>
      <c r="E20" s="25" t="s">
        <v>228</v>
      </c>
      <c r="F20" s="25" t="s">
        <v>229</v>
      </c>
    </row>
    <row r="21" spans="1:6" x14ac:dyDescent="0.25">
      <c r="A21" s="25" t="s">
        <v>259</v>
      </c>
      <c r="B21" s="25" t="s">
        <v>226</v>
      </c>
      <c r="C21" s="25" t="s">
        <v>61</v>
      </c>
      <c r="D21" s="25" t="s">
        <v>227</v>
      </c>
      <c r="E21" s="25" t="s">
        <v>228</v>
      </c>
      <c r="F21" s="25" t="s">
        <v>229</v>
      </c>
    </row>
    <row r="22" spans="1:6" x14ac:dyDescent="0.25">
      <c r="A22" s="25" t="s">
        <v>281</v>
      </c>
      <c r="B22" s="25" t="s">
        <v>226</v>
      </c>
      <c r="C22" s="25" t="s">
        <v>61</v>
      </c>
      <c r="D22" s="25" t="s">
        <v>227</v>
      </c>
      <c r="E22" s="25" t="s">
        <v>228</v>
      </c>
      <c r="F22" s="25" t="s">
        <v>229</v>
      </c>
    </row>
    <row r="23" spans="1:6" x14ac:dyDescent="0.25">
      <c r="A23" s="25" t="s">
        <v>374</v>
      </c>
      <c r="B23" s="25" t="s">
        <v>226</v>
      </c>
      <c r="C23" s="25" t="s">
        <v>61</v>
      </c>
      <c r="D23" s="25" t="s">
        <v>227</v>
      </c>
      <c r="E23" s="25" t="s">
        <v>228</v>
      </c>
      <c r="F23" s="25" t="s">
        <v>229</v>
      </c>
    </row>
    <row r="24" spans="1:6" x14ac:dyDescent="0.25">
      <c r="A24" s="25" t="s">
        <v>319</v>
      </c>
      <c r="B24" s="25" t="s">
        <v>226</v>
      </c>
      <c r="C24" s="25" t="s">
        <v>61</v>
      </c>
      <c r="D24" s="25" t="s">
        <v>227</v>
      </c>
      <c r="E24" s="25" t="s">
        <v>228</v>
      </c>
      <c r="F24" s="25" t="s">
        <v>229</v>
      </c>
    </row>
    <row r="25" spans="1:6" x14ac:dyDescent="0.25">
      <c r="A25" s="25" t="s">
        <v>430</v>
      </c>
      <c r="B25" s="25" t="s">
        <v>226</v>
      </c>
      <c r="C25" s="25" t="s">
        <v>61</v>
      </c>
      <c r="D25" s="25" t="s">
        <v>227</v>
      </c>
      <c r="E25" s="25" t="s">
        <v>228</v>
      </c>
      <c r="F25" s="25" t="s">
        <v>229</v>
      </c>
    </row>
    <row r="26" spans="1:6" x14ac:dyDescent="0.25">
      <c r="A26" s="25" t="s">
        <v>339</v>
      </c>
      <c r="B26" s="25" t="s">
        <v>226</v>
      </c>
      <c r="C26" s="25" t="s">
        <v>61</v>
      </c>
      <c r="D26" s="25" t="s">
        <v>227</v>
      </c>
      <c r="E26" s="25" t="s">
        <v>228</v>
      </c>
      <c r="F26" s="25" t="s">
        <v>229</v>
      </c>
    </row>
    <row r="27" spans="1:6" x14ac:dyDescent="0.25">
      <c r="A27" s="25" t="s">
        <v>354</v>
      </c>
      <c r="B27" s="25" t="s">
        <v>226</v>
      </c>
      <c r="C27" s="25" t="s">
        <v>61</v>
      </c>
      <c r="D27" s="25" t="s">
        <v>227</v>
      </c>
      <c r="E27" s="25" t="s">
        <v>228</v>
      </c>
      <c r="F27" s="25" t="s">
        <v>229</v>
      </c>
    </row>
    <row r="28" spans="1:6" x14ac:dyDescent="0.25">
      <c r="A28" s="25" t="s">
        <v>424</v>
      </c>
      <c r="B28" s="25" t="s">
        <v>226</v>
      </c>
      <c r="C28" s="25" t="s">
        <v>61</v>
      </c>
      <c r="D28" s="25" t="s">
        <v>227</v>
      </c>
      <c r="E28" s="25" t="s">
        <v>228</v>
      </c>
      <c r="F28" s="25" t="s">
        <v>229</v>
      </c>
    </row>
    <row r="29" spans="1:6" x14ac:dyDescent="0.25">
      <c r="A29" s="25" t="s">
        <v>260</v>
      </c>
      <c r="B29" s="25" t="s">
        <v>226</v>
      </c>
      <c r="C29" s="25" t="s">
        <v>61</v>
      </c>
      <c r="D29" s="25" t="s">
        <v>227</v>
      </c>
      <c r="E29" s="25" t="s">
        <v>228</v>
      </c>
      <c r="F29" s="25" t="s">
        <v>229</v>
      </c>
    </row>
    <row r="30" spans="1:6" x14ac:dyDescent="0.25">
      <c r="A30" s="25" t="s">
        <v>409</v>
      </c>
      <c r="B30" s="25" t="s">
        <v>226</v>
      </c>
      <c r="C30" s="25" t="s">
        <v>61</v>
      </c>
      <c r="D30" s="25" t="s">
        <v>227</v>
      </c>
      <c r="E30" s="25" t="s">
        <v>228</v>
      </c>
      <c r="F30" s="25" t="s">
        <v>229</v>
      </c>
    </row>
    <row r="31" spans="1:6" x14ac:dyDescent="0.25">
      <c r="A31" s="25" t="s">
        <v>381</v>
      </c>
      <c r="B31" s="25" t="s">
        <v>226</v>
      </c>
      <c r="C31" s="25" t="s">
        <v>61</v>
      </c>
      <c r="D31" s="25" t="s">
        <v>227</v>
      </c>
      <c r="E31" s="25" t="s">
        <v>228</v>
      </c>
      <c r="F31" s="25" t="s">
        <v>229</v>
      </c>
    </row>
    <row r="32" spans="1:6" x14ac:dyDescent="0.25">
      <c r="A32" s="25" t="s">
        <v>391</v>
      </c>
      <c r="B32" s="25" t="s">
        <v>226</v>
      </c>
      <c r="C32" s="25" t="s">
        <v>61</v>
      </c>
      <c r="D32" s="25" t="s">
        <v>227</v>
      </c>
      <c r="E32" s="25" t="s">
        <v>228</v>
      </c>
      <c r="F32" s="25" t="s">
        <v>229</v>
      </c>
    </row>
    <row r="33" spans="1:6" x14ac:dyDescent="0.25">
      <c r="A33" s="25" t="s">
        <v>370</v>
      </c>
      <c r="B33" s="25" t="s">
        <v>226</v>
      </c>
      <c r="C33" s="25" t="s">
        <v>61</v>
      </c>
      <c r="D33" s="25" t="s">
        <v>227</v>
      </c>
      <c r="E33" s="25" t="s">
        <v>228</v>
      </c>
      <c r="F33" s="25" t="s">
        <v>229</v>
      </c>
    </row>
    <row r="34" spans="1:6" x14ac:dyDescent="0.25">
      <c r="A34" s="25" t="s">
        <v>320</v>
      </c>
      <c r="B34" s="25" t="s">
        <v>226</v>
      </c>
      <c r="C34" s="25" t="s">
        <v>61</v>
      </c>
      <c r="D34" s="25" t="s">
        <v>227</v>
      </c>
      <c r="E34" s="25" t="s">
        <v>228</v>
      </c>
      <c r="F34" s="25" t="s">
        <v>229</v>
      </c>
    </row>
    <row r="35" spans="1:6" x14ac:dyDescent="0.25">
      <c r="A35" s="25" t="s">
        <v>372</v>
      </c>
      <c r="B35" s="25" t="s">
        <v>226</v>
      </c>
      <c r="C35" s="25" t="s">
        <v>61</v>
      </c>
      <c r="D35" s="25" t="s">
        <v>227</v>
      </c>
      <c r="E35" s="25" t="s">
        <v>228</v>
      </c>
      <c r="F35" s="25" t="s">
        <v>229</v>
      </c>
    </row>
    <row r="36" spans="1:6" x14ac:dyDescent="0.25">
      <c r="A36" s="25" t="s">
        <v>318</v>
      </c>
      <c r="B36" s="25" t="s">
        <v>226</v>
      </c>
      <c r="C36" s="25" t="s">
        <v>61</v>
      </c>
      <c r="D36" s="25" t="s">
        <v>227</v>
      </c>
      <c r="E36" s="25" t="s">
        <v>228</v>
      </c>
      <c r="F36" s="25" t="s">
        <v>229</v>
      </c>
    </row>
    <row r="37" spans="1:6" x14ac:dyDescent="0.25">
      <c r="A37" s="25" t="s">
        <v>305</v>
      </c>
      <c r="B37" s="25" t="s">
        <v>226</v>
      </c>
      <c r="C37" s="25" t="s">
        <v>61</v>
      </c>
      <c r="D37" s="25" t="s">
        <v>227</v>
      </c>
      <c r="E37" s="25" t="s">
        <v>228</v>
      </c>
      <c r="F37" s="25" t="s">
        <v>229</v>
      </c>
    </row>
    <row r="38" spans="1:6" x14ac:dyDescent="0.25">
      <c r="A38" s="25" t="s">
        <v>323</v>
      </c>
      <c r="B38" s="25" t="s">
        <v>226</v>
      </c>
      <c r="C38" s="25" t="s">
        <v>61</v>
      </c>
      <c r="D38" s="25" t="s">
        <v>227</v>
      </c>
      <c r="E38" s="25" t="s">
        <v>228</v>
      </c>
      <c r="F38" s="25" t="s">
        <v>229</v>
      </c>
    </row>
    <row r="39" spans="1:6" x14ac:dyDescent="0.25">
      <c r="A39" s="25" t="s">
        <v>286</v>
      </c>
      <c r="B39" s="25" t="s">
        <v>226</v>
      </c>
      <c r="C39" s="25" t="s">
        <v>61</v>
      </c>
      <c r="D39" s="25" t="s">
        <v>287</v>
      </c>
      <c r="E39" s="25" t="s">
        <v>228</v>
      </c>
      <c r="F39" s="25" t="s">
        <v>229</v>
      </c>
    </row>
    <row r="40" spans="1:6" x14ac:dyDescent="0.25">
      <c r="A40" s="25" t="s">
        <v>330</v>
      </c>
      <c r="B40" s="25" t="s">
        <v>226</v>
      </c>
      <c r="C40" s="25" t="s">
        <v>61</v>
      </c>
      <c r="D40" s="25" t="s">
        <v>227</v>
      </c>
      <c r="E40" s="25" t="s">
        <v>228</v>
      </c>
      <c r="F40" s="25" t="s">
        <v>229</v>
      </c>
    </row>
    <row r="41" spans="1:6" x14ac:dyDescent="0.25">
      <c r="A41" s="25" t="s">
        <v>278</v>
      </c>
      <c r="B41" s="25" t="s">
        <v>226</v>
      </c>
      <c r="C41" s="25" t="s">
        <v>61</v>
      </c>
      <c r="D41" s="25" t="s">
        <v>227</v>
      </c>
      <c r="E41" s="25" t="s">
        <v>228</v>
      </c>
      <c r="F41" s="25" t="s">
        <v>229</v>
      </c>
    </row>
    <row r="42" spans="1:6" x14ac:dyDescent="0.25">
      <c r="A42" s="25" t="s">
        <v>410</v>
      </c>
      <c r="B42" s="25" t="s">
        <v>226</v>
      </c>
      <c r="C42" s="25" t="s">
        <v>61</v>
      </c>
      <c r="D42" s="25" t="s">
        <v>227</v>
      </c>
      <c r="E42" s="25" t="s">
        <v>228</v>
      </c>
      <c r="F42" s="25" t="s">
        <v>229</v>
      </c>
    </row>
    <row r="43" spans="1:6" x14ac:dyDescent="0.25">
      <c r="A43" s="25" t="s">
        <v>326</v>
      </c>
      <c r="B43" s="25" t="s">
        <v>226</v>
      </c>
      <c r="C43" s="25" t="s">
        <v>61</v>
      </c>
      <c r="D43" s="25" t="s">
        <v>227</v>
      </c>
      <c r="E43" s="25" t="s">
        <v>228</v>
      </c>
      <c r="F43" s="25" t="s">
        <v>229</v>
      </c>
    </row>
    <row r="44" spans="1:6" x14ac:dyDescent="0.25">
      <c r="A44" s="25" t="s">
        <v>332</v>
      </c>
      <c r="B44" s="25" t="s">
        <v>226</v>
      </c>
      <c r="C44" s="25" t="s">
        <v>61</v>
      </c>
      <c r="D44" s="25" t="s">
        <v>227</v>
      </c>
      <c r="E44" s="25" t="s">
        <v>228</v>
      </c>
      <c r="F44" s="25" t="s">
        <v>229</v>
      </c>
    </row>
    <row r="45" spans="1:6" x14ac:dyDescent="0.25">
      <c r="A45" s="25" t="s">
        <v>247</v>
      </c>
      <c r="B45" s="25" t="s">
        <v>226</v>
      </c>
      <c r="C45" s="25" t="s">
        <v>61</v>
      </c>
      <c r="D45" s="25" t="s">
        <v>227</v>
      </c>
      <c r="E45" s="25" t="s">
        <v>228</v>
      </c>
      <c r="F45" s="25" t="s">
        <v>229</v>
      </c>
    </row>
    <row r="46" spans="1:6" x14ac:dyDescent="0.25">
      <c r="A46" s="25" t="s">
        <v>267</v>
      </c>
      <c r="B46" s="25" t="s">
        <v>226</v>
      </c>
      <c r="C46" s="25" t="s">
        <v>61</v>
      </c>
      <c r="D46" s="25" t="s">
        <v>227</v>
      </c>
      <c r="E46" s="25" t="s">
        <v>228</v>
      </c>
      <c r="F46" s="25" t="s">
        <v>229</v>
      </c>
    </row>
    <row r="47" spans="1:6" x14ac:dyDescent="0.25">
      <c r="A47" s="25" t="s">
        <v>418</v>
      </c>
      <c r="B47" s="25" t="s">
        <v>226</v>
      </c>
      <c r="C47" s="25" t="s">
        <v>61</v>
      </c>
      <c r="D47" s="25" t="s">
        <v>227</v>
      </c>
      <c r="E47" s="25" t="s">
        <v>228</v>
      </c>
      <c r="F47" s="25" t="s">
        <v>229</v>
      </c>
    </row>
    <row r="48" spans="1:6" x14ac:dyDescent="0.25">
      <c r="A48" s="25" t="s">
        <v>313</v>
      </c>
      <c r="B48" s="25" t="s">
        <v>226</v>
      </c>
      <c r="C48" s="25" t="s">
        <v>61</v>
      </c>
      <c r="D48" s="25" t="s">
        <v>227</v>
      </c>
      <c r="E48" s="25" t="s">
        <v>228</v>
      </c>
      <c r="F48" s="25" t="s">
        <v>229</v>
      </c>
    </row>
    <row r="49" spans="1:6" x14ac:dyDescent="0.25">
      <c r="A49" s="25" t="s">
        <v>257</v>
      </c>
      <c r="B49" s="25" t="s">
        <v>226</v>
      </c>
      <c r="C49" s="25" t="s">
        <v>61</v>
      </c>
      <c r="D49" s="25" t="s">
        <v>227</v>
      </c>
      <c r="E49" s="25" t="s">
        <v>228</v>
      </c>
      <c r="F49" s="25" t="s">
        <v>229</v>
      </c>
    </row>
    <row r="50" spans="1:6" x14ac:dyDescent="0.25">
      <c r="A50" s="25" t="s">
        <v>329</v>
      </c>
      <c r="B50" s="25" t="s">
        <v>226</v>
      </c>
      <c r="C50" s="25" t="s">
        <v>61</v>
      </c>
      <c r="D50" s="25" t="s">
        <v>227</v>
      </c>
      <c r="E50" s="25" t="s">
        <v>228</v>
      </c>
      <c r="F50" s="25" t="s">
        <v>229</v>
      </c>
    </row>
    <row r="51" spans="1:6" x14ac:dyDescent="0.25">
      <c r="A51" s="25" t="s">
        <v>384</v>
      </c>
      <c r="B51" s="25" t="s">
        <v>226</v>
      </c>
      <c r="C51" s="25" t="s">
        <v>61</v>
      </c>
      <c r="D51" s="25" t="s">
        <v>227</v>
      </c>
      <c r="E51" s="25" t="s">
        <v>228</v>
      </c>
      <c r="F51" s="25" t="s">
        <v>229</v>
      </c>
    </row>
    <row r="52" spans="1:6" x14ac:dyDescent="0.25">
      <c r="A52" s="25" t="s">
        <v>371</v>
      </c>
      <c r="B52" s="25" t="s">
        <v>226</v>
      </c>
      <c r="C52" s="25" t="s">
        <v>61</v>
      </c>
      <c r="D52" s="25" t="s">
        <v>227</v>
      </c>
      <c r="E52" s="25" t="s">
        <v>228</v>
      </c>
      <c r="F52" s="25" t="s">
        <v>229</v>
      </c>
    </row>
    <row r="53" spans="1:6" x14ac:dyDescent="0.25">
      <c r="A53" s="25" t="s">
        <v>265</v>
      </c>
      <c r="B53" s="25" t="s">
        <v>226</v>
      </c>
      <c r="C53" s="25" t="s">
        <v>61</v>
      </c>
      <c r="D53" s="25" t="s">
        <v>227</v>
      </c>
      <c r="E53" s="25" t="s">
        <v>228</v>
      </c>
      <c r="F53" s="25" t="s">
        <v>229</v>
      </c>
    </row>
    <row r="54" spans="1:6" x14ac:dyDescent="0.25">
      <c r="A54" s="25" t="s">
        <v>337</v>
      </c>
      <c r="B54" s="25" t="s">
        <v>226</v>
      </c>
      <c r="C54" s="25" t="s">
        <v>61</v>
      </c>
      <c r="D54" s="25" t="s">
        <v>227</v>
      </c>
      <c r="E54" s="25" t="s">
        <v>228</v>
      </c>
      <c r="F54" s="25" t="s">
        <v>229</v>
      </c>
    </row>
    <row r="55" spans="1:6" x14ac:dyDescent="0.25">
      <c r="A55" s="25" t="s">
        <v>328</v>
      </c>
      <c r="B55" s="25" t="s">
        <v>226</v>
      </c>
      <c r="C55" s="25" t="s">
        <v>61</v>
      </c>
      <c r="D55" s="25" t="s">
        <v>227</v>
      </c>
      <c r="E55" s="25" t="s">
        <v>228</v>
      </c>
      <c r="F55" s="25" t="s">
        <v>229</v>
      </c>
    </row>
    <row r="56" spans="1:6" x14ac:dyDescent="0.25">
      <c r="A56" s="25" t="s">
        <v>310</v>
      </c>
      <c r="B56" s="25" t="s">
        <v>226</v>
      </c>
      <c r="C56" s="25" t="s">
        <v>61</v>
      </c>
      <c r="D56" s="25" t="s">
        <v>227</v>
      </c>
      <c r="E56" s="25" t="s">
        <v>228</v>
      </c>
      <c r="F56" s="25" t="s">
        <v>229</v>
      </c>
    </row>
    <row r="57" spans="1:6" x14ac:dyDescent="0.25">
      <c r="A57" s="25" t="s">
        <v>309</v>
      </c>
      <c r="B57" s="25" t="s">
        <v>226</v>
      </c>
      <c r="C57" s="25" t="s">
        <v>61</v>
      </c>
      <c r="D57" s="25" t="s">
        <v>227</v>
      </c>
      <c r="E57" s="25" t="s">
        <v>228</v>
      </c>
      <c r="F57" s="25" t="s">
        <v>229</v>
      </c>
    </row>
    <row r="58" spans="1:6" x14ac:dyDescent="0.25">
      <c r="A58" s="25" t="s">
        <v>358</v>
      </c>
      <c r="B58" s="25" t="s">
        <v>226</v>
      </c>
      <c r="C58" s="25" t="s">
        <v>61</v>
      </c>
      <c r="D58" s="25" t="s">
        <v>227</v>
      </c>
      <c r="E58" s="25" t="s">
        <v>228</v>
      </c>
      <c r="F58" s="25" t="s">
        <v>229</v>
      </c>
    </row>
    <row r="59" spans="1:6" x14ac:dyDescent="0.25">
      <c r="A59" s="25" t="s">
        <v>271</v>
      </c>
      <c r="B59" s="25" t="s">
        <v>226</v>
      </c>
      <c r="C59" s="25" t="s">
        <v>61</v>
      </c>
      <c r="D59" s="25" t="s">
        <v>227</v>
      </c>
      <c r="E59" s="25" t="s">
        <v>228</v>
      </c>
      <c r="F59" s="25" t="s">
        <v>229</v>
      </c>
    </row>
    <row r="60" spans="1:6" x14ac:dyDescent="0.25">
      <c r="A60" s="25" t="s">
        <v>344</v>
      </c>
      <c r="B60" s="25" t="s">
        <v>226</v>
      </c>
      <c r="C60" s="25" t="s">
        <v>61</v>
      </c>
      <c r="D60" s="25" t="s">
        <v>227</v>
      </c>
      <c r="E60" s="25" t="s">
        <v>228</v>
      </c>
      <c r="F60" s="25" t="s">
        <v>229</v>
      </c>
    </row>
    <row r="61" spans="1:6" x14ac:dyDescent="0.25">
      <c r="A61" s="25" t="s">
        <v>327</v>
      </c>
      <c r="B61" s="25" t="s">
        <v>226</v>
      </c>
      <c r="C61" s="25" t="s">
        <v>61</v>
      </c>
      <c r="D61" s="25" t="s">
        <v>227</v>
      </c>
      <c r="E61" s="25" t="s">
        <v>228</v>
      </c>
      <c r="F61" s="25" t="s">
        <v>229</v>
      </c>
    </row>
    <row r="62" spans="1:6" x14ac:dyDescent="0.25">
      <c r="A62" s="25" t="s">
        <v>420</v>
      </c>
      <c r="B62" s="25" t="s">
        <v>226</v>
      </c>
      <c r="C62" s="25" t="s">
        <v>61</v>
      </c>
      <c r="D62" s="25" t="s">
        <v>227</v>
      </c>
      <c r="E62" s="25" t="s">
        <v>228</v>
      </c>
      <c r="F62" s="25" t="s">
        <v>229</v>
      </c>
    </row>
    <row r="63" spans="1:6" x14ac:dyDescent="0.25">
      <c r="A63" s="25" t="s">
        <v>397</v>
      </c>
      <c r="B63" s="25" t="s">
        <v>226</v>
      </c>
      <c r="C63" s="25" t="s">
        <v>61</v>
      </c>
      <c r="D63" s="25" t="s">
        <v>227</v>
      </c>
      <c r="E63" s="25" t="s">
        <v>228</v>
      </c>
      <c r="F63" s="25" t="s">
        <v>229</v>
      </c>
    </row>
    <row r="64" spans="1:6" x14ac:dyDescent="0.25">
      <c r="A64" s="25" t="s">
        <v>277</v>
      </c>
      <c r="B64" s="25" t="s">
        <v>226</v>
      </c>
      <c r="C64" s="25" t="s">
        <v>61</v>
      </c>
      <c r="D64" s="25" t="s">
        <v>227</v>
      </c>
      <c r="E64" s="25" t="s">
        <v>228</v>
      </c>
      <c r="F64" s="25" t="s">
        <v>229</v>
      </c>
    </row>
    <row r="65" spans="1:6" x14ac:dyDescent="0.25">
      <c r="A65" s="25" t="s">
        <v>396</v>
      </c>
      <c r="B65" s="25" t="s">
        <v>226</v>
      </c>
      <c r="C65" s="25" t="s">
        <v>61</v>
      </c>
      <c r="D65" s="25" t="s">
        <v>227</v>
      </c>
      <c r="E65" s="25" t="s">
        <v>228</v>
      </c>
      <c r="F65" s="25" t="s">
        <v>229</v>
      </c>
    </row>
    <row r="66" spans="1:6" x14ac:dyDescent="0.25">
      <c r="A66" s="25" t="s">
        <v>299</v>
      </c>
      <c r="B66" s="25" t="s">
        <v>226</v>
      </c>
      <c r="C66" s="25" t="s">
        <v>61</v>
      </c>
      <c r="D66" s="25" t="s">
        <v>227</v>
      </c>
      <c r="E66" s="25" t="s">
        <v>228</v>
      </c>
      <c r="F66" s="25" t="s">
        <v>229</v>
      </c>
    </row>
    <row r="67" spans="1:6" x14ac:dyDescent="0.25">
      <c r="A67" s="25" t="s">
        <v>357</v>
      </c>
      <c r="B67" s="25" t="s">
        <v>226</v>
      </c>
      <c r="C67" s="25" t="s">
        <v>61</v>
      </c>
      <c r="D67" s="25" t="s">
        <v>227</v>
      </c>
      <c r="E67" s="25" t="s">
        <v>228</v>
      </c>
      <c r="F67" s="25" t="s">
        <v>229</v>
      </c>
    </row>
    <row r="68" spans="1:6" x14ac:dyDescent="0.25">
      <c r="A68" s="25" t="s">
        <v>255</v>
      </c>
      <c r="B68" s="25" t="s">
        <v>226</v>
      </c>
      <c r="C68" s="25" t="s">
        <v>61</v>
      </c>
      <c r="D68" s="25" t="s">
        <v>227</v>
      </c>
      <c r="E68" s="25" t="s">
        <v>228</v>
      </c>
      <c r="F68" s="25" t="s">
        <v>229</v>
      </c>
    </row>
    <row r="69" spans="1:6" x14ac:dyDescent="0.25">
      <c r="A69" s="25" t="s">
        <v>379</v>
      </c>
      <c r="B69" s="25" t="s">
        <v>226</v>
      </c>
      <c r="C69" s="25" t="s">
        <v>61</v>
      </c>
      <c r="D69" s="25" t="s">
        <v>227</v>
      </c>
      <c r="E69" s="25" t="s">
        <v>228</v>
      </c>
      <c r="F69" s="25" t="s">
        <v>229</v>
      </c>
    </row>
    <row r="70" spans="1:6" x14ac:dyDescent="0.25">
      <c r="A70" s="25" t="s">
        <v>421</v>
      </c>
      <c r="B70" s="25" t="s">
        <v>226</v>
      </c>
      <c r="C70" s="25" t="s">
        <v>61</v>
      </c>
      <c r="D70" s="25" t="s">
        <v>227</v>
      </c>
      <c r="E70" s="25" t="s">
        <v>228</v>
      </c>
      <c r="F70" s="25" t="s">
        <v>229</v>
      </c>
    </row>
    <row r="71" spans="1:6" x14ac:dyDescent="0.25">
      <c r="A71" s="25" t="s">
        <v>425</v>
      </c>
      <c r="B71" s="25" t="s">
        <v>226</v>
      </c>
      <c r="C71" s="25" t="s">
        <v>61</v>
      </c>
      <c r="D71" s="25" t="s">
        <v>227</v>
      </c>
      <c r="E71" s="25" t="s">
        <v>228</v>
      </c>
      <c r="F71" s="25" t="s">
        <v>229</v>
      </c>
    </row>
    <row r="72" spans="1:6" x14ac:dyDescent="0.25">
      <c r="A72" s="25" t="s">
        <v>349</v>
      </c>
      <c r="B72" s="25" t="s">
        <v>226</v>
      </c>
      <c r="C72" s="25" t="s">
        <v>61</v>
      </c>
      <c r="D72" s="25" t="s">
        <v>227</v>
      </c>
      <c r="E72" s="25" t="s">
        <v>228</v>
      </c>
      <c r="F72" s="25" t="s">
        <v>229</v>
      </c>
    </row>
    <row r="73" spans="1:6" x14ac:dyDescent="0.25">
      <c r="A73" s="25" t="s">
        <v>256</v>
      </c>
      <c r="B73" s="25" t="s">
        <v>226</v>
      </c>
      <c r="C73" s="25" t="s">
        <v>61</v>
      </c>
      <c r="D73" s="25" t="s">
        <v>227</v>
      </c>
      <c r="E73" s="25" t="s">
        <v>228</v>
      </c>
      <c r="F73" s="25" t="s">
        <v>229</v>
      </c>
    </row>
    <row r="74" spans="1:6" x14ac:dyDescent="0.25">
      <c r="A74" s="25" t="s">
        <v>433</v>
      </c>
      <c r="B74" s="25" t="s">
        <v>226</v>
      </c>
      <c r="C74" s="25" t="s">
        <v>61</v>
      </c>
      <c r="D74" s="25" t="s">
        <v>227</v>
      </c>
      <c r="E74" s="25" t="s">
        <v>228</v>
      </c>
      <c r="F74" s="25" t="s">
        <v>229</v>
      </c>
    </row>
    <row r="75" spans="1:6" x14ac:dyDescent="0.25">
      <c r="A75" s="25" t="s">
        <v>241</v>
      </c>
      <c r="B75" s="25" t="s">
        <v>226</v>
      </c>
      <c r="C75" s="25" t="s">
        <v>61</v>
      </c>
      <c r="D75" s="25" t="s">
        <v>227</v>
      </c>
      <c r="E75" s="25" t="s">
        <v>228</v>
      </c>
      <c r="F75" s="25" t="s">
        <v>229</v>
      </c>
    </row>
    <row r="76" spans="1:6" x14ac:dyDescent="0.25">
      <c r="A76" s="25" t="s">
        <v>303</v>
      </c>
      <c r="B76" s="25" t="s">
        <v>226</v>
      </c>
      <c r="C76" s="25" t="s">
        <v>61</v>
      </c>
      <c r="D76" s="25" t="s">
        <v>227</v>
      </c>
      <c r="E76" s="25" t="s">
        <v>228</v>
      </c>
      <c r="F76" s="25" t="s">
        <v>229</v>
      </c>
    </row>
    <row r="77" spans="1:6" x14ac:dyDescent="0.25">
      <c r="A77" s="25" t="s">
        <v>348</v>
      </c>
      <c r="B77" s="25" t="s">
        <v>226</v>
      </c>
      <c r="C77" s="25" t="s">
        <v>61</v>
      </c>
      <c r="D77" s="25" t="s">
        <v>227</v>
      </c>
      <c r="E77" s="25" t="s">
        <v>228</v>
      </c>
      <c r="F77" s="25" t="s">
        <v>229</v>
      </c>
    </row>
    <row r="78" spans="1:6" x14ac:dyDescent="0.25">
      <c r="A78" s="25" t="s">
        <v>417</v>
      </c>
      <c r="B78" s="25" t="s">
        <v>226</v>
      </c>
      <c r="C78" s="25" t="s">
        <v>61</v>
      </c>
      <c r="D78" s="25" t="s">
        <v>227</v>
      </c>
      <c r="E78" s="25" t="s">
        <v>228</v>
      </c>
      <c r="F78" s="25" t="s">
        <v>229</v>
      </c>
    </row>
    <row r="79" spans="1:6" x14ac:dyDescent="0.25">
      <c r="A79" s="25" t="s">
        <v>300</v>
      </c>
      <c r="B79" s="25" t="s">
        <v>226</v>
      </c>
      <c r="C79" s="25" t="s">
        <v>61</v>
      </c>
      <c r="D79" s="25" t="s">
        <v>227</v>
      </c>
      <c r="E79" s="25" t="s">
        <v>228</v>
      </c>
      <c r="F79" s="25" t="s">
        <v>229</v>
      </c>
    </row>
    <row r="80" spans="1:6" x14ac:dyDescent="0.25">
      <c r="A80" s="25" t="s">
        <v>266</v>
      </c>
      <c r="B80" s="25" t="s">
        <v>226</v>
      </c>
      <c r="C80" s="25" t="s">
        <v>61</v>
      </c>
      <c r="D80" s="25" t="s">
        <v>227</v>
      </c>
      <c r="E80" s="25" t="s">
        <v>228</v>
      </c>
      <c r="F80" s="25" t="s">
        <v>229</v>
      </c>
    </row>
    <row r="81" spans="1:6" x14ac:dyDescent="0.25">
      <c r="A81" s="25" t="s">
        <v>311</v>
      </c>
      <c r="B81" s="25" t="s">
        <v>226</v>
      </c>
      <c r="C81" s="25" t="s">
        <v>61</v>
      </c>
      <c r="D81" s="25" t="s">
        <v>227</v>
      </c>
      <c r="E81" s="25" t="s">
        <v>228</v>
      </c>
      <c r="F81" s="25" t="s">
        <v>229</v>
      </c>
    </row>
    <row r="82" spans="1:6" x14ac:dyDescent="0.25">
      <c r="A82" s="25" t="s">
        <v>415</v>
      </c>
      <c r="B82" s="25" t="s">
        <v>226</v>
      </c>
      <c r="C82" s="25" t="s">
        <v>61</v>
      </c>
      <c r="D82" s="25" t="s">
        <v>227</v>
      </c>
      <c r="E82" s="25" t="s">
        <v>228</v>
      </c>
      <c r="F82" s="25" t="s">
        <v>229</v>
      </c>
    </row>
    <row r="83" spans="1:6" x14ac:dyDescent="0.25">
      <c r="A83" s="25" t="s">
        <v>264</v>
      </c>
      <c r="B83" s="25" t="s">
        <v>226</v>
      </c>
      <c r="C83" s="25" t="s">
        <v>61</v>
      </c>
      <c r="D83" s="25" t="s">
        <v>227</v>
      </c>
      <c r="E83" s="25" t="s">
        <v>228</v>
      </c>
      <c r="F83" s="25" t="s">
        <v>229</v>
      </c>
    </row>
    <row r="84" spans="1:6" x14ac:dyDescent="0.25">
      <c r="A84" s="25" t="s">
        <v>341</v>
      </c>
      <c r="B84" s="25" t="s">
        <v>226</v>
      </c>
      <c r="C84" s="25" t="s">
        <v>61</v>
      </c>
      <c r="D84" s="25" t="s">
        <v>227</v>
      </c>
      <c r="E84" s="25" t="s">
        <v>228</v>
      </c>
      <c r="F84" s="25" t="s">
        <v>229</v>
      </c>
    </row>
    <row r="85" spans="1:6" x14ac:dyDescent="0.25">
      <c r="A85" s="25" t="s">
        <v>258</v>
      </c>
      <c r="B85" s="25" t="s">
        <v>226</v>
      </c>
      <c r="C85" s="25" t="s">
        <v>61</v>
      </c>
      <c r="D85" s="25" t="s">
        <v>227</v>
      </c>
      <c r="E85" s="25" t="s">
        <v>228</v>
      </c>
      <c r="F85" s="25" t="s">
        <v>229</v>
      </c>
    </row>
    <row r="86" spans="1:6" x14ac:dyDescent="0.25">
      <c r="A86" s="25" t="s">
        <v>414</v>
      </c>
      <c r="B86" s="25" t="s">
        <v>226</v>
      </c>
      <c r="C86" s="25" t="s">
        <v>61</v>
      </c>
      <c r="D86" s="25" t="s">
        <v>227</v>
      </c>
      <c r="E86" s="25" t="s">
        <v>228</v>
      </c>
      <c r="F86" s="25" t="s">
        <v>229</v>
      </c>
    </row>
    <row r="87" spans="1:6" x14ac:dyDescent="0.25">
      <c r="A87" s="25" t="s">
        <v>297</v>
      </c>
      <c r="B87" s="25" t="s">
        <v>226</v>
      </c>
      <c r="C87" s="25" t="s">
        <v>61</v>
      </c>
      <c r="D87" s="25" t="s">
        <v>227</v>
      </c>
      <c r="E87" s="25" t="s">
        <v>228</v>
      </c>
      <c r="F87" s="25" t="s">
        <v>229</v>
      </c>
    </row>
    <row r="88" spans="1:6" x14ac:dyDescent="0.25">
      <c r="A88" s="25" t="s">
        <v>412</v>
      </c>
      <c r="B88" s="25" t="s">
        <v>226</v>
      </c>
      <c r="C88" s="25" t="s">
        <v>61</v>
      </c>
      <c r="D88" s="25" t="s">
        <v>227</v>
      </c>
      <c r="E88" s="25" t="s">
        <v>228</v>
      </c>
      <c r="F88" s="25" t="s">
        <v>229</v>
      </c>
    </row>
    <row r="89" spans="1:6" x14ac:dyDescent="0.25">
      <c r="A89" s="25" t="s">
        <v>390</v>
      </c>
      <c r="B89" s="25" t="s">
        <v>226</v>
      </c>
      <c r="C89" s="25" t="s">
        <v>61</v>
      </c>
      <c r="D89" s="25" t="s">
        <v>227</v>
      </c>
      <c r="E89" s="25" t="s">
        <v>228</v>
      </c>
      <c r="F89" s="25" t="s">
        <v>229</v>
      </c>
    </row>
    <row r="90" spans="1:6" x14ac:dyDescent="0.25">
      <c r="A90" s="25" t="s">
        <v>240</v>
      </c>
      <c r="B90" s="25" t="s">
        <v>226</v>
      </c>
      <c r="C90" s="25" t="s">
        <v>61</v>
      </c>
      <c r="D90" s="25" t="s">
        <v>227</v>
      </c>
      <c r="E90" s="25" t="s">
        <v>228</v>
      </c>
      <c r="F90" s="25" t="s">
        <v>229</v>
      </c>
    </row>
    <row r="91" spans="1:6" x14ac:dyDescent="0.25">
      <c r="A91" s="25" t="s">
        <v>334</v>
      </c>
      <c r="B91" s="25" t="s">
        <v>226</v>
      </c>
      <c r="C91" s="25" t="s">
        <v>61</v>
      </c>
      <c r="D91" s="25" t="s">
        <v>227</v>
      </c>
      <c r="E91" s="25" t="s">
        <v>228</v>
      </c>
      <c r="F91" s="25" t="s">
        <v>229</v>
      </c>
    </row>
    <row r="92" spans="1:6" x14ac:dyDescent="0.25">
      <c r="A92" s="25" t="s">
        <v>246</v>
      </c>
      <c r="B92" s="25" t="s">
        <v>226</v>
      </c>
      <c r="C92" s="25" t="s">
        <v>61</v>
      </c>
      <c r="D92" s="25" t="s">
        <v>227</v>
      </c>
      <c r="E92" s="25" t="s">
        <v>228</v>
      </c>
      <c r="F92" s="25" t="s">
        <v>229</v>
      </c>
    </row>
    <row r="93" spans="1:6" x14ac:dyDescent="0.25">
      <c r="A93" s="25" t="s">
        <v>416</v>
      </c>
      <c r="B93" s="25" t="s">
        <v>226</v>
      </c>
      <c r="C93" s="25" t="s">
        <v>61</v>
      </c>
      <c r="D93" s="25" t="s">
        <v>227</v>
      </c>
      <c r="E93" s="25" t="s">
        <v>228</v>
      </c>
      <c r="F93" s="25" t="s">
        <v>229</v>
      </c>
    </row>
    <row r="94" spans="1:6" x14ac:dyDescent="0.25">
      <c r="A94" s="25" t="s">
        <v>325</v>
      </c>
      <c r="B94" s="25" t="s">
        <v>226</v>
      </c>
      <c r="C94" s="25" t="s">
        <v>61</v>
      </c>
      <c r="D94" s="25" t="s">
        <v>227</v>
      </c>
      <c r="E94" s="25" t="s">
        <v>228</v>
      </c>
      <c r="F94" s="25" t="s">
        <v>229</v>
      </c>
    </row>
    <row r="95" spans="1:6" x14ac:dyDescent="0.25">
      <c r="A95" s="25" t="s">
        <v>280</v>
      </c>
      <c r="B95" s="25" t="s">
        <v>226</v>
      </c>
      <c r="C95" s="25" t="s">
        <v>61</v>
      </c>
      <c r="D95" s="25" t="s">
        <v>227</v>
      </c>
      <c r="E95" s="25" t="s">
        <v>228</v>
      </c>
      <c r="F95" s="25" t="s">
        <v>229</v>
      </c>
    </row>
    <row r="96" spans="1:6" x14ac:dyDescent="0.25">
      <c r="A96" s="25" t="s">
        <v>393</v>
      </c>
      <c r="B96" s="25" t="s">
        <v>226</v>
      </c>
      <c r="C96" s="25" t="s">
        <v>61</v>
      </c>
      <c r="D96" s="25" t="s">
        <v>227</v>
      </c>
      <c r="E96" s="25" t="s">
        <v>228</v>
      </c>
      <c r="F96" s="25" t="s">
        <v>229</v>
      </c>
    </row>
    <row r="97" spans="1:6" x14ac:dyDescent="0.25">
      <c r="A97" s="25" t="s">
        <v>347</v>
      </c>
      <c r="B97" s="25" t="s">
        <v>226</v>
      </c>
      <c r="C97" s="25" t="s">
        <v>61</v>
      </c>
      <c r="D97" s="25" t="s">
        <v>227</v>
      </c>
      <c r="E97" s="25" t="s">
        <v>228</v>
      </c>
      <c r="F97" s="25" t="s">
        <v>229</v>
      </c>
    </row>
    <row r="98" spans="1:6" x14ac:dyDescent="0.25">
      <c r="A98" s="25" t="s">
        <v>431</v>
      </c>
      <c r="B98" s="25" t="s">
        <v>226</v>
      </c>
      <c r="C98" s="25" t="s">
        <v>61</v>
      </c>
      <c r="D98" s="25" t="s">
        <v>227</v>
      </c>
      <c r="E98" s="25" t="s">
        <v>228</v>
      </c>
      <c r="F98" s="25" t="s">
        <v>229</v>
      </c>
    </row>
    <row r="99" spans="1:6" x14ac:dyDescent="0.25">
      <c r="A99" s="25" t="s">
        <v>403</v>
      </c>
      <c r="B99" s="25" t="s">
        <v>226</v>
      </c>
      <c r="C99" s="25" t="s">
        <v>61</v>
      </c>
      <c r="D99" s="25" t="s">
        <v>227</v>
      </c>
      <c r="E99" s="25" t="s">
        <v>228</v>
      </c>
      <c r="F99" s="25" t="s">
        <v>229</v>
      </c>
    </row>
    <row r="100" spans="1:6" x14ac:dyDescent="0.25">
      <c r="A100" s="25" t="s">
        <v>375</v>
      </c>
      <c r="B100" s="25" t="s">
        <v>226</v>
      </c>
      <c r="C100" s="25" t="s">
        <v>61</v>
      </c>
      <c r="D100" s="25" t="s">
        <v>227</v>
      </c>
      <c r="E100" s="25" t="s">
        <v>228</v>
      </c>
      <c r="F100" s="25" t="s">
        <v>229</v>
      </c>
    </row>
    <row r="101" spans="1:6" x14ac:dyDescent="0.25">
      <c r="A101" s="25" t="s">
        <v>238</v>
      </c>
      <c r="B101" s="25" t="s">
        <v>226</v>
      </c>
      <c r="C101" s="25" t="s">
        <v>61</v>
      </c>
      <c r="D101" s="25" t="s">
        <v>227</v>
      </c>
      <c r="E101" s="25" t="s">
        <v>228</v>
      </c>
      <c r="F101" s="25" t="s">
        <v>229</v>
      </c>
    </row>
    <row r="102" spans="1:6" x14ac:dyDescent="0.25">
      <c r="A102" s="25" t="s">
        <v>355</v>
      </c>
      <c r="B102" s="25" t="s">
        <v>226</v>
      </c>
      <c r="C102" s="25" t="s">
        <v>61</v>
      </c>
      <c r="D102" s="25" t="s">
        <v>227</v>
      </c>
      <c r="E102" s="25" t="s">
        <v>228</v>
      </c>
      <c r="F102" s="25" t="s">
        <v>229</v>
      </c>
    </row>
    <row r="103" spans="1:6" x14ac:dyDescent="0.25">
      <c r="A103" s="25" t="s">
        <v>276</v>
      </c>
      <c r="B103" s="25" t="s">
        <v>226</v>
      </c>
      <c r="C103" s="25" t="s">
        <v>61</v>
      </c>
      <c r="D103" s="25" t="s">
        <v>227</v>
      </c>
      <c r="E103" s="25" t="s">
        <v>228</v>
      </c>
      <c r="F103" s="25" t="s">
        <v>229</v>
      </c>
    </row>
    <row r="104" spans="1:6" x14ac:dyDescent="0.25">
      <c r="A104" s="25" t="s">
        <v>236</v>
      </c>
      <c r="B104" s="25" t="s">
        <v>226</v>
      </c>
      <c r="C104" s="25" t="s">
        <v>61</v>
      </c>
      <c r="D104" s="25" t="s">
        <v>227</v>
      </c>
      <c r="E104" s="25" t="s">
        <v>228</v>
      </c>
      <c r="F104" s="25" t="s">
        <v>229</v>
      </c>
    </row>
    <row r="105" spans="1:6" x14ac:dyDescent="0.25">
      <c r="A105" s="25" t="s">
        <v>262</v>
      </c>
      <c r="B105" s="25" t="s">
        <v>226</v>
      </c>
      <c r="C105" s="25" t="s">
        <v>61</v>
      </c>
      <c r="D105" s="25" t="s">
        <v>227</v>
      </c>
      <c r="E105" s="25" t="s">
        <v>228</v>
      </c>
      <c r="F105" s="25" t="s">
        <v>229</v>
      </c>
    </row>
    <row r="106" spans="1:6" x14ac:dyDescent="0.25">
      <c r="A106" s="25" t="s">
        <v>340</v>
      </c>
      <c r="B106" s="25" t="s">
        <v>226</v>
      </c>
      <c r="C106" s="25" t="s">
        <v>61</v>
      </c>
      <c r="D106" s="25" t="s">
        <v>227</v>
      </c>
      <c r="E106" s="25" t="s">
        <v>228</v>
      </c>
      <c r="F106" s="25" t="s">
        <v>229</v>
      </c>
    </row>
    <row r="107" spans="1:6" x14ac:dyDescent="0.25">
      <c r="A107" s="25" t="s">
        <v>432</v>
      </c>
      <c r="B107" s="25" t="s">
        <v>226</v>
      </c>
      <c r="C107" s="25" t="s">
        <v>61</v>
      </c>
      <c r="D107" s="25" t="s">
        <v>227</v>
      </c>
      <c r="E107" s="25" t="s">
        <v>228</v>
      </c>
      <c r="F107" s="25" t="s">
        <v>229</v>
      </c>
    </row>
    <row r="108" spans="1:6" x14ac:dyDescent="0.25">
      <c r="A108" s="25" t="s">
        <v>404</v>
      </c>
      <c r="B108" s="25" t="s">
        <v>226</v>
      </c>
      <c r="C108" s="25" t="s">
        <v>61</v>
      </c>
      <c r="D108" s="25" t="s">
        <v>227</v>
      </c>
      <c r="E108" s="25" t="s">
        <v>228</v>
      </c>
      <c r="F108" s="25" t="s">
        <v>229</v>
      </c>
    </row>
    <row r="109" spans="1:6" x14ac:dyDescent="0.25">
      <c r="A109" s="25" t="s">
        <v>343</v>
      </c>
      <c r="B109" s="25" t="s">
        <v>226</v>
      </c>
      <c r="C109" s="25" t="s">
        <v>61</v>
      </c>
      <c r="D109" s="25" t="s">
        <v>227</v>
      </c>
      <c r="E109" s="25" t="s">
        <v>228</v>
      </c>
      <c r="F109" s="25" t="s">
        <v>229</v>
      </c>
    </row>
    <row r="110" spans="1:6" x14ac:dyDescent="0.25">
      <c r="A110" s="25" t="s">
        <v>242</v>
      </c>
      <c r="B110" s="25" t="s">
        <v>226</v>
      </c>
      <c r="C110" s="25" t="s">
        <v>61</v>
      </c>
      <c r="D110" s="25" t="s">
        <v>227</v>
      </c>
      <c r="E110" s="25" t="s">
        <v>228</v>
      </c>
      <c r="F110" s="25" t="s">
        <v>229</v>
      </c>
    </row>
    <row r="111" spans="1:6" x14ac:dyDescent="0.25">
      <c r="A111" s="25" t="s">
        <v>382</v>
      </c>
      <c r="B111" s="25" t="s">
        <v>226</v>
      </c>
      <c r="C111" s="25" t="s">
        <v>61</v>
      </c>
      <c r="D111" s="25" t="s">
        <v>227</v>
      </c>
      <c r="E111" s="25" t="s">
        <v>228</v>
      </c>
      <c r="F111" s="25" t="s">
        <v>229</v>
      </c>
    </row>
    <row r="112" spans="1:6" x14ac:dyDescent="0.25">
      <c r="A112" s="25" t="s">
        <v>288</v>
      </c>
      <c r="B112" s="25" t="s">
        <v>226</v>
      </c>
      <c r="C112" s="25" t="s">
        <v>61</v>
      </c>
      <c r="D112" s="25" t="s">
        <v>227</v>
      </c>
      <c r="E112" s="25" t="s">
        <v>228</v>
      </c>
      <c r="F112" s="25" t="s">
        <v>229</v>
      </c>
    </row>
    <row r="113" spans="1:6" x14ac:dyDescent="0.25">
      <c r="A113" s="25" t="s">
        <v>406</v>
      </c>
      <c r="B113" s="25" t="s">
        <v>226</v>
      </c>
      <c r="C113" s="25" t="s">
        <v>61</v>
      </c>
      <c r="D113" s="25" t="s">
        <v>227</v>
      </c>
      <c r="E113" s="25" t="s">
        <v>228</v>
      </c>
      <c r="F113" s="25" t="s">
        <v>229</v>
      </c>
    </row>
    <row r="114" spans="1:6" x14ac:dyDescent="0.25">
      <c r="A114" s="25" t="s">
        <v>351</v>
      </c>
      <c r="B114" s="25" t="s">
        <v>226</v>
      </c>
      <c r="C114" s="25" t="s">
        <v>61</v>
      </c>
      <c r="D114" s="25" t="s">
        <v>227</v>
      </c>
      <c r="E114" s="25" t="s">
        <v>228</v>
      </c>
      <c r="F114" s="25" t="s">
        <v>229</v>
      </c>
    </row>
    <row r="115" spans="1:6" x14ac:dyDescent="0.25">
      <c r="A115" s="25" t="s">
        <v>368</v>
      </c>
      <c r="B115" s="25" t="s">
        <v>226</v>
      </c>
      <c r="C115" s="25" t="s">
        <v>61</v>
      </c>
      <c r="D115" s="25" t="s">
        <v>227</v>
      </c>
      <c r="E115" s="25" t="s">
        <v>228</v>
      </c>
      <c r="F115" s="25" t="s">
        <v>229</v>
      </c>
    </row>
    <row r="116" spans="1:6" x14ac:dyDescent="0.25">
      <c r="A116" s="25" t="s">
        <v>383</v>
      </c>
      <c r="B116" s="25" t="s">
        <v>226</v>
      </c>
      <c r="C116" s="25" t="s">
        <v>61</v>
      </c>
      <c r="D116" s="25" t="s">
        <v>227</v>
      </c>
      <c r="E116" s="25" t="s">
        <v>228</v>
      </c>
      <c r="F116" s="25" t="s">
        <v>229</v>
      </c>
    </row>
    <row r="117" spans="1:6" x14ac:dyDescent="0.25">
      <c r="A117" s="25" t="s">
        <v>321</v>
      </c>
      <c r="B117" s="25" t="s">
        <v>226</v>
      </c>
      <c r="C117" s="25" t="s">
        <v>61</v>
      </c>
      <c r="D117" s="25" t="s">
        <v>227</v>
      </c>
      <c r="E117" s="25" t="s">
        <v>228</v>
      </c>
      <c r="F117" s="25" t="s">
        <v>229</v>
      </c>
    </row>
    <row r="118" spans="1:6" x14ac:dyDescent="0.25">
      <c r="A118" s="25" t="s">
        <v>232</v>
      </c>
      <c r="B118" s="25" t="s">
        <v>226</v>
      </c>
      <c r="C118" s="25" t="s">
        <v>61</v>
      </c>
      <c r="D118" s="25" t="s">
        <v>227</v>
      </c>
      <c r="E118" s="25" t="s">
        <v>228</v>
      </c>
      <c r="F118" s="25" t="s">
        <v>229</v>
      </c>
    </row>
    <row r="119" spans="1:6" x14ac:dyDescent="0.25">
      <c r="A119" s="25" t="s">
        <v>423</v>
      </c>
      <c r="B119" s="25" t="s">
        <v>226</v>
      </c>
      <c r="C119" s="25" t="s">
        <v>61</v>
      </c>
      <c r="D119" s="25" t="s">
        <v>227</v>
      </c>
      <c r="E119" s="25" t="s">
        <v>228</v>
      </c>
      <c r="F119" s="25" t="s">
        <v>229</v>
      </c>
    </row>
    <row r="120" spans="1:6" x14ac:dyDescent="0.25">
      <c r="A120" s="25" t="s">
        <v>284</v>
      </c>
      <c r="B120" s="25" t="s">
        <v>226</v>
      </c>
      <c r="C120" s="25" t="s">
        <v>61</v>
      </c>
      <c r="D120" s="25" t="s">
        <v>227</v>
      </c>
      <c r="E120" s="25" t="s">
        <v>228</v>
      </c>
      <c r="F120" s="25" t="s">
        <v>229</v>
      </c>
    </row>
    <row r="121" spans="1:6" x14ac:dyDescent="0.25">
      <c r="A121" s="25" t="s">
        <v>346</v>
      </c>
      <c r="B121" s="25" t="s">
        <v>226</v>
      </c>
      <c r="C121" s="25" t="s">
        <v>61</v>
      </c>
      <c r="D121" s="25" t="s">
        <v>227</v>
      </c>
      <c r="E121" s="25" t="s">
        <v>228</v>
      </c>
      <c r="F121" s="25" t="s">
        <v>229</v>
      </c>
    </row>
    <row r="122" spans="1:6" x14ac:dyDescent="0.25">
      <c r="A122" s="25" t="s">
        <v>307</v>
      </c>
      <c r="B122" s="25" t="s">
        <v>226</v>
      </c>
      <c r="C122" s="25" t="s">
        <v>61</v>
      </c>
      <c r="D122" s="25" t="s">
        <v>227</v>
      </c>
      <c r="E122" s="25" t="s">
        <v>228</v>
      </c>
      <c r="F122" s="25" t="s">
        <v>229</v>
      </c>
    </row>
    <row r="123" spans="1:6" x14ac:dyDescent="0.25">
      <c r="A123" s="25" t="s">
        <v>408</v>
      </c>
      <c r="B123" s="25" t="s">
        <v>226</v>
      </c>
      <c r="C123" s="25" t="s">
        <v>61</v>
      </c>
      <c r="D123" s="25" t="s">
        <v>227</v>
      </c>
      <c r="E123" s="25" t="s">
        <v>228</v>
      </c>
      <c r="F123" s="25" t="s">
        <v>229</v>
      </c>
    </row>
    <row r="124" spans="1:6" x14ac:dyDescent="0.25">
      <c r="A124" s="25" t="s">
        <v>395</v>
      </c>
      <c r="B124" s="25" t="s">
        <v>226</v>
      </c>
      <c r="C124" s="25" t="s">
        <v>61</v>
      </c>
      <c r="D124" s="25" t="s">
        <v>227</v>
      </c>
      <c r="E124" s="25" t="s">
        <v>228</v>
      </c>
      <c r="F124" s="25" t="s">
        <v>229</v>
      </c>
    </row>
    <row r="125" spans="1:6" x14ac:dyDescent="0.25">
      <c r="A125" s="25" t="s">
        <v>360</v>
      </c>
      <c r="B125" s="25" t="s">
        <v>226</v>
      </c>
      <c r="C125" s="25" t="s">
        <v>61</v>
      </c>
      <c r="D125" s="25" t="s">
        <v>227</v>
      </c>
      <c r="E125" s="25" t="s">
        <v>228</v>
      </c>
      <c r="F125" s="25" t="s">
        <v>229</v>
      </c>
    </row>
    <row r="126" spans="1:6" x14ac:dyDescent="0.25">
      <c r="A126" s="25" t="s">
        <v>400</v>
      </c>
      <c r="B126" s="25" t="s">
        <v>226</v>
      </c>
      <c r="C126" s="25" t="s">
        <v>61</v>
      </c>
      <c r="D126" s="25" t="s">
        <v>227</v>
      </c>
      <c r="E126" s="25" t="s">
        <v>228</v>
      </c>
      <c r="F126" s="25" t="s">
        <v>229</v>
      </c>
    </row>
    <row r="127" spans="1:6" x14ac:dyDescent="0.25">
      <c r="A127" s="25" t="s">
        <v>249</v>
      </c>
      <c r="B127" s="25" t="s">
        <v>226</v>
      </c>
      <c r="C127" s="25" t="s">
        <v>61</v>
      </c>
      <c r="D127" s="25" t="s">
        <v>227</v>
      </c>
      <c r="E127" s="25" t="s">
        <v>228</v>
      </c>
      <c r="F127" s="25" t="s">
        <v>229</v>
      </c>
    </row>
    <row r="128" spans="1:6" x14ac:dyDescent="0.25">
      <c r="A128" s="25" t="s">
        <v>293</v>
      </c>
      <c r="B128" s="25" t="s">
        <v>226</v>
      </c>
      <c r="C128" s="25" t="s">
        <v>61</v>
      </c>
      <c r="D128" s="25" t="s">
        <v>227</v>
      </c>
      <c r="E128" s="25" t="s">
        <v>228</v>
      </c>
      <c r="F128" s="25" t="s">
        <v>229</v>
      </c>
    </row>
    <row r="129" spans="1:6" x14ac:dyDescent="0.25">
      <c r="A129" s="25" t="s">
        <v>331</v>
      </c>
      <c r="B129" s="25" t="s">
        <v>226</v>
      </c>
      <c r="C129" s="25" t="s">
        <v>61</v>
      </c>
      <c r="D129" s="25" t="s">
        <v>227</v>
      </c>
      <c r="E129" s="25" t="s">
        <v>228</v>
      </c>
      <c r="F129" s="25" t="s">
        <v>229</v>
      </c>
    </row>
    <row r="130" spans="1:6" x14ac:dyDescent="0.25">
      <c r="A130" s="25" t="s">
        <v>317</v>
      </c>
      <c r="B130" s="25" t="s">
        <v>226</v>
      </c>
      <c r="C130" s="25" t="s">
        <v>61</v>
      </c>
      <c r="D130" s="25" t="s">
        <v>227</v>
      </c>
      <c r="E130" s="25" t="s">
        <v>228</v>
      </c>
      <c r="F130" s="25" t="s">
        <v>229</v>
      </c>
    </row>
    <row r="131" spans="1:6" x14ac:dyDescent="0.25">
      <c r="A131" s="25" t="s">
        <v>402</v>
      </c>
      <c r="B131" s="25" t="s">
        <v>226</v>
      </c>
      <c r="C131" s="25" t="s">
        <v>61</v>
      </c>
      <c r="D131" s="25" t="s">
        <v>227</v>
      </c>
      <c r="E131" s="25" t="s">
        <v>228</v>
      </c>
      <c r="F131" s="25" t="s">
        <v>229</v>
      </c>
    </row>
    <row r="132" spans="1:6" x14ac:dyDescent="0.25">
      <c r="A132" s="25" t="s">
        <v>269</v>
      </c>
      <c r="B132" s="25" t="s">
        <v>226</v>
      </c>
      <c r="C132" s="25" t="s">
        <v>61</v>
      </c>
      <c r="D132" s="25" t="s">
        <v>227</v>
      </c>
      <c r="E132" s="25" t="s">
        <v>228</v>
      </c>
      <c r="F132" s="25" t="s">
        <v>229</v>
      </c>
    </row>
    <row r="133" spans="1:6" x14ac:dyDescent="0.25">
      <c r="A133" s="25" t="s">
        <v>352</v>
      </c>
      <c r="B133" s="25" t="s">
        <v>226</v>
      </c>
      <c r="C133" s="25" t="s">
        <v>61</v>
      </c>
      <c r="D133" s="25" t="s">
        <v>227</v>
      </c>
      <c r="E133" s="25" t="s">
        <v>228</v>
      </c>
      <c r="F133" s="25" t="s">
        <v>229</v>
      </c>
    </row>
    <row r="134" spans="1:6" x14ac:dyDescent="0.25">
      <c r="A134" s="25" t="s">
        <v>407</v>
      </c>
      <c r="B134" s="25" t="s">
        <v>226</v>
      </c>
      <c r="C134" s="25" t="s">
        <v>61</v>
      </c>
      <c r="D134" s="25" t="s">
        <v>227</v>
      </c>
      <c r="E134" s="25" t="s">
        <v>228</v>
      </c>
      <c r="F134" s="25" t="s">
        <v>229</v>
      </c>
    </row>
    <row r="135" spans="1:6" x14ac:dyDescent="0.25">
      <c r="A135" s="25" t="s">
        <v>411</v>
      </c>
      <c r="B135" s="25" t="s">
        <v>226</v>
      </c>
      <c r="C135" s="25" t="s">
        <v>61</v>
      </c>
      <c r="D135" s="25" t="s">
        <v>227</v>
      </c>
      <c r="E135" s="25" t="s">
        <v>228</v>
      </c>
      <c r="F135" s="25" t="s">
        <v>229</v>
      </c>
    </row>
    <row r="136" spans="1:6" x14ac:dyDescent="0.25">
      <c r="A136" s="25" t="s">
        <v>235</v>
      </c>
      <c r="B136" s="25" t="s">
        <v>226</v>
      </c>
      <c r="C136" s="25" t="s">
        <v>61</v>
      </c>
      <c r="D136" s="25" t="s">
        <v>227</v>
      </c>
      <c r="E136" s="25" t="s">
        <v>228</v>
      </c>
      <c r="F136" s="25" t="s">
        <v>229</v>
      </c>
    </row>
    <row r="137" spans="1:6" x14ac:dyDescent="0.25">
      <c r="A137" s="25" t="s">
        <v>335</v>
      </c>
      <c r="B137" s="25" t="s">
        <v>226</v>
      </c>
      <c r="C137" s="25" t="s">
        <v>61</v>
      </c>
      <c r="D137" s="25" t="s">
        <v>227</v>
      </c>
      <c r="E137" s="25" t="s">
        <v>228</v>
      </c>
      <c r="F137" s="25" t="s">
        <v>229</v>
      </c>
    </row>
    <row r="138" spans="1:6" x14ac:dyDescent="0.25">
      <c r="A138" s="25" t="s">
        <v>389</v>
      </c>
      <c r="B138" s="25" t="s">
        <v>226</v>
      </c>
      <c r="C138" s="25" t="s">
        <v>61</v>
      </c>
      <c r="D138" s="25" t="s">
        <v>227</v>
      </c>
      <c r="E138" s="25" t="s">
        <v>228</v>
      </c>
      <c r="F138" s="25" t="s">
        <v>229</v>
      </c>
    </row>
    <row r="139" spans="1:6" x14ac:dyDescent="0.25">
      <c r="A139" s="25" t="s">
        <v>296</v>
      </c>
      <c r="B139" s="25" t="s">
        <v>226</v>
      </c>
      <c r="C139" s="25" t="s">
        <v>61</v>
      </c>
      <c r="D139" s="25" t="s">
        <v>227</v>
      </c>
      <c r="E139" s="25" t="s">
        <v>228</v>
      </c>
      <c r="F139" s="25" t="s">
        <v>229</v>
      </c>
    </row>
    <row r="140" spans="1:6" x14ac:dyDescent="0.25">
      <c r="A140" s="25" t="s">
        <v>230</v>
      </c>
      <c r="B140" s="25" t="s">
        <v>226</v>
      </c>
      <c r="C140" s="25" t="s">
        <v>61</v>
      </c>
      <c r="D140" s="25" t="s">
        <v>227</v>
      </c>
      <c r="E140" s="25" t="s">
        <v>228</v>
      </c>
      <c r="F140" s="25" t="s">
        <v>229</v>
      </c>
    </row>
    <row r="141" spans="1:6" x14ac:dyDescent="0.25">
      <c r="A141" s="25" t="s">
        <v>401</v>
      </c>
      <c r="B141" s="25" t="s">
        <v>226</v>
      </c>
      <c r="C141" s="25" t="s">
        <v>61</v>
      </c>
      <c r="D141" s="25" t="s">
        <v>227</v>
      </c>
      <c r="E141" s="25" t="s">
        <v>228</v>
      </c>
      <c r="F141" s="25" t="s">
        <v>229</v>
      </c>
    </row>
    <row r="142" spans="1:6" x14ac:dyDescent="0.25">
      <c r="A142" s="25" t="s">
        <v>366</v>
      </c>
      <c r="B142" s="25" t="s">
        <v>226</v>
      </c>
      <c r="C142" s="25" t="s">
        <v>61</v>
      </c>
      <c r="D142" s="25" t="s">
        <v>227</v>
      </c>
      <c r="E142" s="25" t="s">
        <v>228</v>
      </c>
      <c r="F142" s="25" t="s">
        <v>229</v>
      </c>
    </row>
    <row r="143" spans="1:6" x14ac:dyDescent="0.25">
      <c r="A143" s="25" t="s">
        <v>394</v>
      </c>
      <c r="B143" s="25" t="s">
        <v>226</v>
      </c>
      <c r="C143" s="25" t="s">
        <v>61</v>
      </c>
      <c r="D143" s="25" t="s">
        <v>227</v>
      </c>
      <c r="E143" s="25" t="s">
        <v>228</v>
      </c>
      <c r="F143" s="25" t="s">
        <v>229</v>
      </c>
    </row>
    <row r="144" spans="1:6" x14ac:dyDescent="0.25">
      <c r="A144" s="25" t="s">
        <v>279</v>
      </c>
      <c r="B144" s="25" t="s">
        <v>226</v>
      </c>
      <c r="C144" s="25" t="s">
        <v>61</v>
      </c>
      <c r="D144" s="25" t="s">
        <v>227</v>
      </c>
      <c r="E144" s="25" t="s">
        <v>228</v>
      </c>
      <c r="F144" s="25" t="s">
        <v>229</v>
      </c>
    </row>
    <row r="145" spans="1:6" x14ac:dyDescent="0.25">
      <c r="A145" s="25" t="s">
        <v>283</v>
      </c>
      <c r="B145" s="25" t="s">
        <v>226</v>
      </c>
      <c r="C145" s="25" t="s">
        <v>61</v>
      </c>
      <c r="D145" s="25" t="s">
        <v>227</v>
      </c>
      <c r="E145" s="25" t="s">
        <v>228</v>
      </c>
      <c r="F145" s="25" t="s">
        <v>229</v>
      </c>
    </row>
    <row r="146" spans="1:6" x14ac:dyDescent="0.25">
      <c r="A146" s="25" t="s">
        <v>251</v>
      </c>
      <c r="B146" s="25" t="s">
        <v>226</v>
      </c>
      <c r="C146" s="25" t="s">
        <v>61</v>
      </c>
      <c r="D146" s="25" t="s">
        <v>227</v>
      </c>
      <c r="E146" s="25" t="s">
        <v>228</v>
      </c>
      <c r="F146" s="25" t="s">
        <v>229</v>
      </c>
    </row>
    <row r="147" spans="1:6" x14ac:dyDescent="0.25">
      <c r="A147" s="25" t="s">
        <v>245</v>
      </c>
      <c r="B147" s="25" t="s">
        <v>226</v>
      </c>
      <c r="C147" s="25" t="s">
        <v>61</v>
      </c>
      <c r="D147" s="25" t="s">
        <v>227</v>
      </c>
      <c r="E147" s="25" t="s">
        <v>228</v>
      </c>
      <c r="F147" s="25" t="s">
        <v>229</v>
      </c>
    </row>
    <row r="148" spans="1:6" x14ac:dyDescent="0.25">
      <c r="A148" s="25" t="s">
        <v>386</v>
      </c>
      <c r="B148" s="25" t="s">
        <v>226</v>
      </c>
      <c r="C148" s="25" t="s">
        <v>61</v>
      </c>
      <c r="D148" s="25" t="s">
        <v>227</v>
      </c>
      <c r="E148" s="25" t="s">
        <v>228</v>
      </c>
      <c r="F148" s="25" t="s">
        <v>229</v>
      </c>
    </row>
    <row r="149" spans="1:6" x14ac:dyDescent="0.25">
      <c r="A149" s="25" t="s">
        <v>428</v>
      </c>
      <c r="B149" s="25" t="s">
        <v>226</v>
      </c>
      <c r="C149" s="25" t="s">
        <v>61</v>
      </c>
      <c r="D149" s="25" t="s">
        <v>227</v>
      </c>
      <c r="E149" s="25" t="s">
        <v>228</v>
      </c>
      <c r="F149" s="25" t="s">
        <v>229</v>
      </c>
    </row>
    <row r="150" spans="1:6" x14ac:dyDescent="0.25">
      <c r="A150" s="25" t="s">
        <v>388</v>
      </c>
      <c r="B150" s="25" t="s">
        <v>226</v>
      </c>
      <c r="C150" s="25" t="s">
        <v>61</v>
      </c>
      <c r="D150" s="25" t="s">
        <v>227</v>
      </c>
      <c r="E150" s="25" t="s">
        <v>228</v>
      </c>
      <c r="F150" s="25" t="s">
        <v>229</v>
      </c>
    </row>
    <row r="151" spans="1:6" x14ac:dyDescent="0.25">
      <c r="A151" s="25" t="s">
        <v>261</v>
      </c>
      <c r="B151" s="25" t="s">
        <v>226</v>
      </c>
      <c r="C151" s="25" t="s">
        <v>61</v>
      </c>
      <c r="D151" s="25" t="s">
        <v>227</v>
      </c>
      <c r="E151" s="25" t="s">
        <v>228</v>
      </c>
      <c r="F151" s="25" t="s">
        <v>229</v>
      </c>
    </row>
    <row r="152" spans="1:6" x14ac:dyDescent="0.25">
      <c r="A152" s="25" t="s">
        <v>338</v>
      </c>
      <c r="B152" s="25" t="s">
        <v>226</v>
      </c>
      <c r="C152" s="25" t="s">
        <v>61</v>
      </c>
      <c r="D152" s="25" t="s">
        <v>227</v>
      </c>
      <c r="E152" s="25" t="s">
        <v>228</v>
      </c>
      <c r="F152" s="25" t="s">
        <v>229</v>
      </c>
    </row>
    <row r="153" spans="1:6" x14ac:dyDescent="0.25">
      <c r="A153" s="25" t="s">
        <v>405</v>
      </c>
      <c r="B153" s="25" t="s">
        <v>226</v>
      </c>
      <c r="C153" s="25" t="s">
        <v>61</v>
      </c>
      <c r="D153" s="25" t="s">
        <v>227</v>
      </c>
      <c r="E153" s="25" t="s">
        <v>228</v>
      </c>
      <c r="F153" s="25" t="s">
        <v>229</v>
      </c>
    </row>
    <row r="154" spans="1:6" x14ac:dyDescent="0.25">
      <c r="A154" s="25" t="s">
        <v>312</v>
      </c>
      <c r="B154" s="25" t="s">
        <v>226</v>
      </c>
      <c r="C154" s="25" t="s">
        <v>61</v>
      </c>
      <c r="D154" s="25" t="s">
        <v>227</v>
      </c>
      <c r="E154" s="25" t="s">
        <v>228</v>
      </c>
      <c r="F154" s="25" t="s">
        <v>229</v>
      </c>
    </row>
    <row r="155" spans="1:6" x14ac:dyDescent="0.25">
      <c r="A155" s="25" t="s">
        <v>253</v>
      </c>
      <c r="B155" s="25" t="s">
        <v>226</v>
      </c>
      <c r="C155" s="25" t="s">
        <v>61</v>
      </c>
      <c r="D155" s="25" t="s">
        <v>227</v>
      </c>
      <c r="E155" s="25" t="s">
        <v>228</v>
      </c>
      <c r="F155" s="25" t="s">
        <v>229</v>
      </c>
    </row>
    <row r="156" spans="1:6" x14ac:dyDescent="0.25">
      <c r="A156" s="25" t="s">
        <v>365</v>
      </c>
      <c r="B156" s="25" t="s">
        <v>226</v>
      </c>
      <c r="C156" s="25" t="s">
        <v>61</v>
      </c>
      <c r="D156" s="25" t="s">
        <v>227</v>
      </c>
      <c r="E156" s="25" t="s">
        <v>228</v>
      </c>
      <c r="F156" s="25" t="s">
        <v>229</v>
      </c>
    </row>
    <row r="157" spans="1:6" x14ac:dyDescent="0.25">
      <c r="A157" s="25" t="s">
        <v>362</v>
      </c>
      <c r="B157" s="25" t="s">
        <v>226</v>
      </c>
      <c r="C157" s="25" t="s">
        <v>61</v>
      </c>
      <c r="D157" s="25" t="s">
        <v>227</v>
      </c>
      <c r="E157" s="25" t="s">
        <v>228</v>
      </c>
      <c r="F157" s="25" t="s">
        <v>229</v>
      </c>
    </row>
    <row r="158" spans="1:6" x14ac:dyDescent="0.25">
      <c r="A158" s="25" t="s">
        <v>322</v>
      </c>
      <c r="B158" s="25" t="s">
        <v>226</v>
      </c>
      <c r="C158" s="25" t="s">
        <v>61</v>
      </c>
      <c r="D158" s="25" t="s">
        <v>227</v>
      </c>
      <c r="E158" s="25" t="s">
        <v>228</v>
      </c>
      <c r="F158" s="25" t="s">
        <v>229</v>
      </c>
    </row>
    <row r="159" spans="1:6" x14ac:dyDescent="0.25">
      <c r="A159" s="25" t="s">
        <v>398</v>
      </c>
      <c r="B159" s="25" t="s">
        <v>226</v>
      </c>
      <c r="C159" s="25" t="s">
        <v>61</v>
      </c>
      <c r="D159" s="25" t="s">
        <v>227</v>
      </c>
      <c r="E159" s="25" t="s">
        <v>399</v>
      </c>
      <c r="F159" s="25" t="s">
        <v>229</v>
      </c>
    </row>
    <row r="160" spans="1:6" x14ac:dyDescent="0.25">
      <c r="A160" s="25" t="s">
        <v>301</v>
      </c>
      <c r="B160" s="25" t="s">
        <v>226</v>
      </c>
      <c r="C160" s="25" t="s">
        <v>61</v>
      </c>
      <c r="D160" s="25" t="s">
        <v>227</v>
      </c>
      <c r="E160" s="25" t="s">
        <v>228</v>
      </c>
      <c r="F160" s="25" t="s">
        <v>229</v>
      </c>
    </row>
    <row r="161" spans="1:6" x14ac:dyDescent="0.25">
      <c r="A161" s="25" t="s">
        <v>290</v>
      </c>
      <c r="B161" s="25" t="s">
        <v>226</v>
      </c>
      <c r="C161" s="25" t="s">
        <v>61</v>
      </c>
      <c r="D161" s="25" t="s">
        <v>227</v>
      </c>
      <c r="E161" s="25" t="s">
        <v>228</v>
      </c>
      <c r="F161" s="25" t="s">
        <v>229</v>
      </c>
    </row>
    <row r="162" spans="1:6" x14ac:dyDescent="0.25">
      <c r="A162" s="25" t="s">
        <v>419</v>
      </c>
      <c r="B162" s="25" t="s">
        <v>226</v>
      </c>
      <c r="C162" s="25" t="s">
        <v>61</v>
      </c>
      <c r="D162" s="25" t="s">
        <v>227</v>
      </c>
      <c r="E162" s="25" t="s">
        <v>228</v>
      </c>
      <c r="F162" s="25" t="s">
        <v>229</v>
      </c>
    </row>
    <row r="163" spans="1:6" x14ac:dyDescent="0.25">
      <c r="A163" s="25" t="s">
        <v>429</v>
      </c>
      <c r="B163" s="25" t="s">
        <v>226</v>
      </c>
      <c r="C163" s="25" t="s">
        <v>61</v>
      </c>
      <c r="D163" s="25" t="s">
        <v>227</v>
      </c>
      <c r="E163" s="25" t="s">
        <v>228</v>
      </c>
      <c r="F163" s="25" t="s">
        <v>229</v>
      </c>
    </row>
    <row r="164" spans="1:6" x14ac:dyDescent="0.25">
      <c r="A164" s="25" t="s">
        <v>252</v>
      </c>
      <c r="B164" s="25" t="s">
        <v>226</v>
      </c>
      <c r="C164" s="25" t="s">
        <v>61</v>
      </c>
      <c r="D164" s="25" t="s">
        <v>227</v>
      </c>
      <c r="E164" s="25" t="s">
        <v>228</v>
      </c>
      <c r="F164" s="25" t="s">
        <v>229</v>
      </c>
    </row>
    <row r="165" spans="1:6" x14ac:dyDescent="0.25">
      <c r="A165" s="25" t="s">
        <v>291</v>
      </c>
      <c r="B165" s="25" t="s">
        <v>226</v>
      </c>
      <c r="C165" s="25" t="s">
        <v>61</v>
      </c>
      <c r="D165" s="25" t="s">
        <v>227</v>
      </c>
      <c r="E165" s="25" t="s">
        <v>228</v>
      </c>
      <c r="F165" s="25" t="s">
        <v>229</v>
      </c>
    </row>
    <row r="166" spans="1:6" x14ac:dyDescent="0.25">
      <c r="A166" s="25" t="s">
        <v>244</v>
      </c>
      <c r="B166" s="25" t="s">
        <v>226</v>
      </c>
      <c r="C166" s="25" t="s">
        <v>61</v>
      </c>
      <c r="D166" s="25" t="s">
        <v>227</v>
      </c>
      <c r="E166" s="25" t="s">
        <v>228</v>
      </c>
      <c r="F166" s="25" t="s">
        <v>229</v>
      </c>
    </row>
    <row r="167" spans="1:6" x14ac:dyDescent="0.25">
      <c r="A167" s="25" t="s">
        <v>336</v>
      </c>
      <c r="B167" s="25" t="s">
        <v>226</v>
      </c>
      <c r="C167" s="25" t="s">
        <v>61</v>
      </c>
      <c r="D167" s="25" t="s">
        <v>227</v>
      </c>
      <c r="E167" s="25" t="s">
        <v>228</v>
      </c>
      <c r="F167" s="25" t="s">
        <v>229</v>
      </c>
    </row>
    <row r="168" spans="1:6" x14ac:dyDescent="0.25">
      <c r="A168" s="25" t="s">
        <v>385</v>
      </c>
      <c r="B168" s="25" t="s">
        <v>226</v>
      </c>
      <c r="C168" s="25" t="s">
        <v>61</v>
      </c>
      <c r="D168" s="25" t="s">
        <v>227</v>
      </c>
      <c r="E168" s="25" t="s">
        <v>228</v>
      </c>
      <c r="F168" s="25" t="s">
        <v>229</v>
      </c>
    </row>
    <row r="169" spans="1:6" x14ac:dyDescent="0.25">
      <c r="A169" s="25" t="s">
        <v>272</v>
      </c>
      <c r="B169" s="25" t="s">
        <v>226</v>
      </c>
      <c r="C169" s="25" t="s">
        <v>61</v>
      </c>
      <c r="D169" s="25" t="s">
        <v>227</v>
      </c>
      <c r="E169" s="25" t="s">
        <v>228</v>
      </c>
      <c r="F169" s="25" t="s">
        <v>229</v>
      </c>
    </row>
    <row r="170" spans="1:6" x14ac:dyDescent="0.25">
      <c r="A170" s="25" t="s">
        <v>231</v>
      </c>
      <c r="B170" s="25" t="s">
        <v>226</v>
      </c>
      <c r="C170" s="25" t="s">
        <v>61</v>
      </c>
      <c r="D170" s="25" t="s">
        <v>227</v>
      </c>
      <c r="E170" s="25" t="s">
        <v>228</v>
      </c>
      <c r="F170" s="25" t="s">
        <v>229</v>
      </c>
    </row>
    <row r="171" spans="1:6" x14ac:dyDescent="0.25">
      <c r="A171" s="25" t="s">
        <v>302</v>
      </c>
      <c r="B171" s="25" t="s">
        <v>226</v>
      </c>
      <c r="C171" s="25" t="s">
        <v>61</v>
      </c>
      <c r="D171" s="25" t="s">
        <v>227</v>
      </c>
      <c r="E171" s="25" t="s">
        <v>228</v>
      </c>
      <c r="F171" s="25" t="s">
        <v>229</v>
      </c>
    </row>
    <row r="172" spans="1:6" x14ac:dyDescent="0.25">
      <c r="A172" s="25" t="s">
        <v>353</v>
      </c>
      <c r="B172" s="25" t="s">
        <v>226</v>
      </c>
      <c r="C172" s="25" t="s">
        <v>61</v>
      </c>
      <c r="D172" s="25" t="s">
        <v>227</v>
      </c>
      <c r="E172" s="25" t="s">
        <v>228</v>
      </c>
      <c r="F172" s="25" t="s">
        <v>229</v>
      </c>
    </row>
    <row r="173" spans="1:6" x14ac:dyDescent="0.25">
      <c r="A173" s="25" t="s">
        <v>295</v>
      </c>
      <c r="B173" s="25" t="s">
        <v>226</v>
      </c>
      <c r="C173" s="25" t="s">
        <v>61</v>
      </c>
      <c r="D173" s="25" t="s">
        <v>227</v>
      </c>
      <c r="E173" s="25" t="s">
        <v>228</v>
      </c>
      <c r="F173" s="25" t="s">
        <v>229</v>
      </c>
    </row>
    <row r="174" spans="1:6" x14ac:dyDescent="0.25">
      <c r="A174" s="25" t="s">
        <v>270</v>
      </c>
      <c r="B174" s="25" t="s">
        <v>226</v>
      </c>
      <c r="C174" s="25" t="s">
        <v>61</v>
      </c>
      <c r="D174" s="25" t="s">
        <v>227</v>
      </c>
      <c r="E174" s="25" t="s">
        <v>228</v>
      </c>
      <c r="F174" s="25" t="s">
        <v>229</v>
      </c>
    </row>
    <row r="175" spans="1:6" x14ac:dyDescent="0.25">
      <c r="A175" s="25" t="s">
        <v>373</v>
      </c>
      <c r="B175" s="25" t="s">
        <v>226</v>
      </c>
      <c r="C175" s="25" t="s">
        <v>61</v>
      </c>
      <c r="D175" s="25" t="s">
        <v>227</v>
      </c>
      <c r="E175" s="25" t="s">
        <v>228</v>
      </c>
      <c r="F175" s="25" t="s">
        <v>229</v>
      </c>
    </row>
    <row r="176" spans="1:6" x14ac:dyDescent="0.25">
      <c r="A176" s="25" t="s">
        <v>427</v>
      </c>
      <c r="B176" s="25" t="s">
        <v>226</v>
      </c>
      <c r="C176" s="25" t="s">
        <v>61</v>
      </c>
      <c r="D176" s="25" t="s">
        <v>227</v>
      </c>
      <c r="E176" s="25" t="s">
        <v>228</v>
      </c>
      <c r="F176" s="25" t="s">
        <v>229</v>
      </c>
    </row>
    <row r="177" spans="1:6" x14ac:dyDescent="0.25">
      <c r="A177" s="25" t="s">
        <v>367</v>
      </c>
      <c r="B177" s="25" t="s">
        <v>226</v>
      </c>
      <c r="C177" s="25" t="s">
        <v>61</v>
      </c>
      <c r="D177" s="25" t="s">
        <v>227</v>
      </c>
      <c r="E177" s="25" t="s">
        <v>228</v>
      </c>
      <c r="F177" s="25" t="s">
        <v>229</v>
      </c>
    </row>
    <row r="178" spans="1:6" x14ac:dyDescent="0.25">
      <c r="A178" s="25" t="s">
        <v>376</v>
      </c>
      <c r="B178" s="25" t="s">
        <v>226</v>
      </c>
      <c r="C178" s="25" t="s">
        <v>61</v>
      </c>
      <c r="D178" s="25" t="s">
        <v>227</v>
      </c>
      <c r="E178" s="25" t="s">
        <v>228</v>
      </c>
      <c r="F178" s="25" t="s">
        <v>229</v>
      </c>
    </row>
    <row r="179" spans="1:6" x14ac:dyDescent="0.25">
      <c r="A179" s="25" t="s">
        <v>237</v>
      </c>
      <c r="B179" s="25" t="s">
        <v>226</v>
      </c>
      <c r="C179" s="25" t="s">
        <v>61</v>
      </c>
      <c r="D179" s="25" t="s">
        <v>227</v>
      </c>
      <c r="E179" s="25" t="s">
        <v>228</v>
      </c>
      <c r="F179" s="25" t="s">
        <v>229</v>
      </c>
    </row>
    <row r="180" spans="1:6" x14ac:dyDescent="0.25">
      <c r="A180" s="25" t="s">
        <v>324</v>
      </c>
      <c r="B180" s="25" t="s">
        <v>226</v>
      </c>
      <c r="C180" s="25" t="s">
        <v>61</v>
      </c>
      <c r="D180" s="25" t="s">
        <v>227</v>
      </c>
      <c r="E180" s="25" t="s">
        <v>228</v>
      </c>
      <c r="F180" s="25" t="s">
        <v>229</v>
      </c>
    </row>
    <row r="181" spans="1:6" x14ac:dyDescent="0.25">
      <c r="A181" s="25" t="s">
        <v>294</v>
      </c>
      <c r="B181" s="25" t="s">
        <v>226</v>
      </c>
      <c r="C181" s="25" t="s">
        <v>61</v>
      </c>
      <c r="D181" s="25" t="s">
        <v>227</v>
      </c>
      <c r="E181" s="25" t="s">
        <v>228</v>
      </c>
      <c r="F181" s="25" t="s">
        <v>229</v>
      </c>
    </row>
    <row r="182" spans="1:6" x14ac:dyDescent="0.25">
      <c r="A182" s="25" t="s">
        <v>268</v>
      </c>
      <c r="B182" s="25" t="s">
        <v>226</v>
      </c>
      <c r="C182" s="25" t="s">
        <v>61</v>
      </c>
      <c r="D182" s="25" t="s">
        <v>227</v>
      </c>
      <c r="E182" s="25" t="s">
        <v>228</v>
      </c>
      <c r="F182" s="25" t="s">
        <v>229</v>
      </c>
    </row>
    <row r="183" spans="1:6" x14ac:dyDescent="0.25">
      <c r="A183" s="25" t="s">
        <v>380</v>
      </c>
      <c r="B183" s="25" t="s">
        <v>226</v>
      </c>
      <c r="C183" s="25" t="s">
        <v>61</v>
      </c>
      <c r="D183" s="25" t="s">
        <v>227</v>
      </c>
      <c r="E183" s="25" t="s">
        <v>228</v>
      </c>
      <c r="F183" s="25" t="s">
        <v>229</v>
      </c>
    </row>
    <row r="184" spans="1:6" x14ac:dyDescent="0.25">
      <c r="A184" s="25" t="s">
        <v>363</v>
      </c>
      <c r="B184" s="25" t="s">
        <v>226</v>
      </c>
      <c r="C184" s="25" t="s">
        <v>61</v>
      </c>
      <c r="D184" s="25" t="s">
        <v>227</v>
      </c>
      <c r="E184" s="25" t="s">
        <v>228</v>
      </c>
      <c r="F184" s="25" t="s">
        <v>229</v>
      </c>
    </row>
    <row r="185" spans="1:6" x14ac:dyDescent="0.25">
      <c r="A185" s="25" t="s">
        <v>377</v>
      </c>
      <c r="B185" s="25" t="s">
        <v>226</v>
      </c>
      <c r="C185" s="25" t="s">
        <v>61</v>
      </c>
      <c r="D185" s="25" t="s">
        <v>227</v>
      </c>
      <c r="E185" s="25" t="s">
        <v>228</v>
      </c>
      <c r="F185" s="25" t="s">
        <v>229</v>
      </c>
    </row>
    <row r="186" spans="1:6" x14ac:dyDescent="0.25">
      <c r="A186" s="25" t="s">
        <v>426</v>
      </c>
      <c r="B186" s="25" t="s">
        <v>226</v>
      </c>
      <c r="C186" s="25" t="s">
        <v>61</v>
      </c>
      <c r="D186" s="25" t="s">
        <v>227</v>
      </c>
      <c r="E186" s="25" t="s">
        <v>228</v>
      </c>
      <c r="F186" s="25" t="s">
        <v>229</v>
      </c>
    </row>
    <row r="187" spans="1:6" x14ac:dyDescent="0.25">
      <c r="A187" s="25" t="s">
        <v>248</v>
      </c>
      <c r="B187" s="25" t="s">
        <v>226</v>
      </c>
      <c r="C187" s="25" t="s">
        <v>61</v>
      </c>
      <c r="D187" s="25" t="s">
        <v>227</v>
      </c>
      <c r="E187" s="25" t="s">
        <v>228</v>
      </c>
      <c r="F187" s="25" t="s">
        <v>229</v>
      </c>
    </row>
    <row r="188" spans="1:6" x14ac:dyDescent="0.25">
      <c r="A188" s="25" t="s">
        <v>285</v>
      </c>
      <c r="B188" s="25" t="s">
        <v>226</v>
      </c>
      <c r="C188" s="25" t="s">
        <v>61</v>
      </c>
      <c r="D188" s="25" t="s">
        <v>227</v>
      </c>
      <c r="E188" s="25" t="s">
        <v>228</v>
      </c>
      <c r="F188" s="25" t="s">
        <v>229</v>
      </c>
    </row>
    <row r="189" spans="1:6" x14ac:dyDescent="0.25">
      <c r="A189" s="25" t="s">
        <v>306</v>
      </c>
      <c r="B189" s="25" t="s">
        <v>226</v>
      </c>
      <c r="C189" s="25" t="s">
        <v>61</v>
      </c>
      <c r="D189" s="25" t="s">
        <v>227</v>
      </c>
      <c r="E189" s="25" t="s">
        <v>228</v>
      </c>
      <c r="F189" s="25" t="s">
        <v>229</v>
      </c>
    </row>
    <row r="190" spans="1:6" x14ac:dyDescent="0.25">
      <c r="A190" s="25" t="s">
        <v>361</v>
      </c>
      <c r="B190" s="25" t="s">
        <v>226</v>
      </c>
      <c r="C190" s="25" t="s">
        <v>61</v>
      </c>
      <c r="D190" s="25" t="s">
        <v>227</v>
      </c>
      <c r="E190" s="25" t="s">
        <v>228</v>
      </c>
      <c r="F190" s="25" t="s">
        <v>229</v>
      </c>
    </row>
    <row r="191" spans="1:6" x14ac:dyDescent="0.25">
      <c r="A191" s="25" t="s">
        <v>308</v>
      </c>
      <c r="B191" s="25" t="s">
        <v>226</v>
      </c>
      <c r="C191" s="25" t="s">
        <v>61</v>
      </c>
      <c r="D191" s="25" t="s">
        <v>227</v>
      </c>
      <c r="E191" s="25" t="s">
        <v>228</v>
      </c>
      <c r="F191" s="25" t="s">
        <v>229</v>
      </c>
    </row>
    <row r="192" spans="1:6" x14ac:dyDescent="0.25">
      <c r="A192" s="25" t="s">
        <v>342</v>
      </c>
      <c r="B192" s="25" t="s">
        <v>226</v>
      </c>
      <c r="C192" s="25" t="s">
        <v>61</v>
      </c>
      <c r="D192" s="25" t="s">
        <v>227</v>
      </c>
      <c r="E192" s="25" t="s">
        <v>228</v>
      </c>
      <c r="F192" s="25" t="s">
        <v>229</v>
      </c>
    </row>
    <row r="193" spans="1:6" x14ac:dyDescent="0.25">
      <c r="A193" s="25" t="s">
        <v>239</v>
      </c>
      <c r="B193" s="25" t="s">
        <v>226</v>
      </c>
      <c r="C193" s="25" t="s">
        <v>61</v>
      </c>
      <c r="D193" s="25" t="s">
        <v>227</v>
      </c>
      <c r="E193" s="25" t="s">
        <v>228</v>
      </c>
      <c r="F193" s="25" t="s">
        <v>229</v>
      </c>
    </row>
    <row r="194" spans="1:6" x14ac:dyDescent="0.25">
      <c r="A194" s="25" t="s">
        <v>387</v>
      </c>
      <c r="B194" s="25" t="s">
        <v>226</v>
      </c>
      <c r="C194" s="25" t="s">
        <v>61</v>
      </c>
      <c r="D194" s="25" t="s">
        <v>227</v>
      </c>
      <c r="E194" s="25" t="s">
        <v>228</v>
      </c>
      <c r="F194" s="25" t="s">
        <v>229</v>
      </c>
    </row>
    <row r="195" spans="1:6" x14ac:dyDescent="0.25">
      <c r="A195" s="25" t="s">
        <v>275</v>
      </c>
      <c r="B195" s="25" t="s">
        <v>226</v>
      </c>
      <c r="C195" s="25" t="s">
        <v>61</v>
      </c>
      <c r="D195" s="25" t="s">
        <v>227</v>
      </c>
      <c r="E195" s="25" t="s">
        <v>228</v>
      </c>
      <c r="F195" s="25" t="s">
        <v>229</v>
      </c>
    </row>
    <row r="196" spans="1:6" x14ac:dyDescent="0.25">
      <c r="A196" s="25" t="s">
        <v>250</v>
      </c>
      <c r="B196" s="25" t="s">
        <v>226</v>
      </c>
      <c r="C196" s="25" t="s">
        <v>61</v>
      </c>
      <c r="D196" s="25" t="s">
        <v>227</v>
      </c>
      <c r="E196" s="25" t="s">
        <v>228</v>
      </c>
      <c r="F196" s="25" t="s">
        <v>229</v>
      </c>
    </row>
    <row r="197" spans="1:6" x14ac:dyDescent="0.25">
      <c r="A197" s="25" t="s">
        <v>392</v>
      </c>
      <c r="B197" s="25" t="s">
        <v>226</v>
      </c>
      <c r="C197" s="25" t="s">
        <v>61</v>
      </c>
      <c r="D197" s="25" t="s">
        <v>227</v>
      </c>
      <c r="E197" s="25" t="s">
        <v>228</v>
      </c>
      <c r="F197" s="25" t="s">
        <v>229</v>
      </c>
    </row>
    <row r="198" spans="1:6" x14ac:dyDescent="0.25">
      <c r="A198" s="25" t="s">
        <v>350</v>
      </c>
      <c r="B198" s="25" t="s">
        <v>226</v>
      </c>
      <c r="C198" s="25" t="s">
        <v>61</v>
      </c>
      <c r="D198" s="25" t="s">
        <v>227</v>
      </c>
      <c r="E198" s="25" t="s">
        <v>228</v>
      </c>
      <c r="F198" s="25" t="s">
        <v>229</v>
      </c>
    </row>
    <row r="199" spans="1:6" x14ac:dyDescent="0.25">
      <c r="A199" s="25" t="s">
        <v>333</v>
      </c>
      <c r="B199" s="25" t="s">
        <v>226</v>
      </c>
      <c r="C199" s="25" t="s">
        <v>61</v>
      </c>
      <c r="D199" s="25" t="s">
        <v>227</v>
      </c>
      <c r="E199" s="25" t="s">
        <v>228</v>
      </c>
      <c r="F199" s="25" t="s">
        <v>229</v>
      </c>
    </row>
    <row r="200" spans="1:6" x14ac:dyDescent="0.25">
      <c r="A200" s="25" t="s">
        <v>356</v>
      </c>
      <c r="B200" s="25" t="s">
        <v>226</v>
      </c>
      <c r="C200" s="25" t="s">
        <v>61</v>
      </c>
      <c r="D200" s="25" t="s">
        <v>227</v>
      </c>
      <c r="E200" s="25" t="s">
        <v>228</v>
      </c>
      <c r="F200" s="25" t="s">
        <v>229</v>
      </c>
    </row>
    <row r="201" spans="1:6" x14ac:dyDescent="0.25">
      <c r="A201" s="25" t="s">
        <v>364</v>
      </c>
      <c r="B201" s="25" t="s">
        <v>226</v>
      </c>
      <c r="C201" s="25" t="s">
        <v>61</v>
      </c>
      <c r="D201" s="25" t="s">
        <v>227</v>
      </c>
      <c r="E201" s="25" t="s">
        <v>228</v>
      </c>
      <c r="F201" s="25" t="s">
        <v>229</v>
      </c>
    </row>
    <row r="202" spans="1:6" x14ac:dyDescent="0.25">
      <c r="A202" s="25" t="s">
        <v>273</v>
      </c>
      <c r="B202" s="25" t="s">
        <v>226</v>
      </c>
      <c r="C202" s="25" t="s">
        <v>61</v>
      </c>
      <c r="D202" s="25" t="s">
        <v>227</v>
      </c>
      <c r="E202" s="25" t="s">
        <v>228</v>
      </c>
      <c r="F202" s="25" t="s">
        <v>229</v>
      </c>
    </row>
    <row r="203" spans="1:6" x14ac:dyDescent="0.25">
      <c r="A203" s="25" t="s">
        <v>292</v>
      </c>
      <c r="B203" s="25" t="s">
        <v>226</v>
      </c>
      <c r="C203" s="25" t="s">
        <v>61</v>
      </c>
      <c r="D203" s="25" t="s">
        <v>227</v>
      </c>
      <c r="E203" s="25" t="s">
        <v>228</v>
      </c>
      <c r="F203" s="25" t="s">
        <v>229</v>
      </c>
    </row>
    <row r="204" spans="1:6" x14ac:dyDescent="0.25">
      <c r="A204" s="25" t="s">
        <v>243</v>
      </c>
      <c r="B204" s="25" t="s">
        <v>226</v>
      </c>
      <c r="C204" s="25" t="s">
        <v>61</v>
      </c>
      <c r="D204" s="25" t="s">
        <v>227</v>
      </c>
      <c r="E204" s="25" t="s">
        <v>228</v>
      </c>
      <c r="F204" s="25" t="s">
        <v>229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
  <sheetViews>
    <sheetView zoomScale="85" zoomScaleNormal="85" workbookViewId="0">
      <selection activeCell="F1" sqref="F1"/>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7" width="54.28515625" style="10" customWidth="1"/>
    <col min="8" max="9" width="9.5703125" style="10" customWidth="1"/>
    <col min="10" max="12" width="18.85546875" style="10" customWidth="1"/>
    <col min="13" max="18" width="37.5703125" style="10" customWidth="1"/>
    <col min="19" max="19" width="56.140625" style="10" customWidth="1"/>
    <col min="20" max="20" width="39.140625" style="10" customWidth="1"/>
    <col min="21" max="21" width="21" style="10" customWidth="1"/>
    <col min="22" max="22" width="15.5703125" style="10" customWidth="1"/>
    <col min="23" max="23" width="67.85546875" style="10" customWidth="1"/>
    <col min="24" max="16384" width="9.140625" style="10"/>
  </cols>
  <sheetData>
    <row r="1" spans="1:24" s="9" customFormat="1" ht="37.5" x14ac:dyDescent="0.3">
      <c r="A1" s="5"/>
      <c r="B1" s="6" t="s">
        <v>46</v>
      </c>
      <c r="C1" s="6"/>
      <c r="D1" s="6" t="s">
        <v>47</v>
      </c>
      <c r="E1" s="5"/>
      <c r="F1" s="6" t="s">
        <v>525</v>
      </c>
      <c r="G1" s="6"/>
      <c r="H1" s="6"/>
      <c r="I1" s="6"/>
      <c r="J1" s="6"/>
      <c r="K1" s="6"/>
      <c r="L1" s="6"/>
      <c r="M1" s="6" t="s">
        <v>194</v>
      </c>
      <c r="N1" s="6"/>
      <c r="O1" s="6"/>
      <c r="P1" s="6"/>
      <c r="Q1" s="6"/>
      <c r="R1" s="6"/>
      <c r="S1" s="6" t="s">
        <v>194</v>
      </c>
      <c r="T1" s="6"/>
      <c r="U1" s="6"/>
      <c r="V1" s="6"/>
      <c r="W1" s="6" t="s">
        <v>194</v>
      </c>
      <c r="X1" s="8"/>
    </row>
    <row r="2" spans="1:24" ht="150" x14ac:dyDescent="0.25">
      <c r="A2" s="10" t="s">
        <v>45</v>
      </c>
      <c r="B2" s="10" t="s">
        <v>468</v>
      </c>
      <c r="C2" s="11" t="s">
        <v>48</v>
      </c>
      <c r="D2" s="10" t="s">
        <v>468</v>
      </c>
      <c r="E2" s="11" t="s">
        <v>49</v>
      </c>
      <c r="F2" s="10" t="str">
        <f>CONCATENATE(A2,B2,C2,D2,E2)</f>
        <v>INSERT INTO TMS_TID_TKCO (TK_CO_I, LST_UPDT_D, TK_CO_N, DELETED,  PARTNER_TX_D, LAST_UPDATE_USER_AN) VALUES ('AACV', NOW_GMT(), 'AACV', 'N', NOW_GMT(), 'SYSTEM');</v>
      </c>
      <c r="G2" s="10" t="s">
        <v>195</v>
      </c>
      <c r="H2" s="11" t="s">
        <v>197</v>
      </c>
      <c r="I2" s="11" t="s">
        <v>32</v>
      </c>
      <c r="J2" s="11" t="s">
        <v>196</v>
      </c>
      <c r="K2" s="10" t="s">
        <v>75</v>
      </c>
      <c r="L2" s="11" t="s">
        <v>198</v>
      </c>
      <c r="M2" s="10" t="str">
        <f>CONCATENATE(G2,B2,H2,I2,D2,J2,K2,L2)</f>
        <v>INSERT INTO CAT_ORGANIZATION( CODE, NAME,CONTACT_EMAIL,CONTACT_PHONE,CONTACT_NAME,SKEY,SITE_KEY,VERSION,CREATE_BY,CREATE_TIME) values ('AACV','AACV',null,null,null,NEXTVAL('ZARA_SEQUENCE'),(SELECT SKEY FROM CAT_SITE WHERE CODE = 'LQN'),0,'SYSTEM',NOW_GMT());</v>
      </c>
      <c r="N2" s="10" t="s">
        <v>199</v>
      </c>
      <c r="O2" s="11" t="s">
        <v>201</v>
      </c>
      <c r="P2" s="11" t="s">
        <v>458</v>
      </c>
      <c r="Q2" s="11" t="s">
        <v>200</v>
      </c>
      <c r="R2" s="11" t="s">
        <v>198</v>
      </c>
      <c r="S2" s="194" t="str">
        <f>CONCATENATE(N2,B2,H2,I2,D2,O2,B2,P2,K2,Q2,K2,R2)</f>
        <v>INSERT INTO CAT_BIZ_UNIT( CODE, NAME,EMAIL,TAX_ID_NBR,ADDRESS,PHONE,SKEY,BIZ_TYPE_CODE,ORG_KEY,SITE_KEY,VERSION,CREATE_BY,CREATE_TIME) values ('AACV','AACV',null,null,null,null,NEXTVAL('ZARA_SEQUENCE'),'TRUCKING_COMPANY',(SELECT SKEY FROM CAT_ORGANIZATION WHERE CODE = 'AACV' AND SITE_KEY=(SELECT SKEY FROM CAT_SITE WHERE CODE = 'LQN')),(SELECT SKEY FROM CAT_SITE WHERE CODE = 'LQN'),0,'SYSTEM',NOW_GMT());</v>
      </c>
      <c r="T2" s="194" t="s">
        <v>203</v>
      </c>
      <c r="U2" s="195" t="s">
        <v>204</v>
      </c>
      <c r="V2" s="195" t="s">
        <v>202</v>
      </c>
      <c r="W2" s="194" t="str">
        <f>CONCATENATE(T2,B2,U2,K2,V2)</f>
        <v>INSERT INTO TOS_TRUCK_COMPANY(ADDRESS_l1,ADDRESS_l2,PHONE_NO,CONTACT_PERSON,SKEY,BIZ_UNIT_KEY) values (null,null,null,null,NEXTVAL('ZARA_SEQUENCE'),(SELECT SKEY FROM CAT_BIZ_UNIT WHERE  BIZ_TYPE_CODE = 'TRUCKING_COMPANY' AND  CODE = 'AACV' AND SITE_KEY = (SELECT SKEY FROM CAT_SITE WHERE CODE = 'LQN')));</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1"/>
  <sheetViews>
    <sheetView zoomScale="85" zoomScaleNormal="85" workbookViewId="0">
      <selection activeCell="F1" sqref="F1"/>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68.28515625" style="10" customWidth="1"/>
    <col min="7" max="7" width="32.42578125" style="10" customWidth="1"/>
    <col min="8" max="8" width="33.85546875" style="10" customWidth="1"/>
    <col min="9" max="9" width="5.5703125" style="10" customWidth="1"/>
    <col min="10" max="10" width="25.7109375" style="10" customWidth="1"/>
    <col min="11" max="11" width="42.28515625" style="10" customWidth="1"/>
    <col min="12" max="12" width="66.5703125" style="10" customWidth="1"/>
    <col min="13" max="16384" width="9.140625" style="10"/>
  </cols>
  <sheetData>
    <row r="1" spans="1:14" s="9" customFormat="1" ht="18.75" x14ac:dyDescent="0.3">
      <c r="A1" s="5"/>
      <c r="B1" s="6" t="s">
        <v>20</v>
      </c>
      <c r="C1" s="6"/>
      <c r="D1" s="7" t="s">
        <v>21</v>
      </c>
      <c r="E1" s="5"/>
      <c r="F1" s="6" t="s">
        <v>525</v>
      </c>
      <c r="G1" s="6"/>
      <c r="H1" s="6"/>
      <c r="I1" s="6"/>
      <c r="J1" s="6"/>
      <c r="K1" s="6" t="s">
        <v>194</v>
      </c>
      <c r="L1" s="8"/>
      <c r="M1" s="8"/>
      <c r="N1" s="8"/>
    </row>
    <row r="2" spans="1:14" ht="119.25" customHeight="1" x14ac:dyDescent="0.25">
      <c r="A2" s="10" t="s">
        <v>27</v>
      </c>
      <c r="B2" s="10" t="s">
        <v>473</v>
      </c>
      <c r="C2" s="11" t="s">
        <v>28</v>
      </c>
      <c r="D2" s="10" t="s">
        <v>473</v>
      </c>
      <c r="E2" s="11" t="s">
        <v>29</v>
      </c>
      <c r="F2" s="10" t="str">
        <f>CONCATENATE(A2,B2,C2,D2,E2)</f>
        <v>INSERT INTO TMS_TID_TK (TK_I, LICENCE_PLATE_AN, SUSPEND_FROM_TM, SUSPEND_TO_TM, TRACTOR_STATUS_CODE, DELETED, PARTNER_TX_D, LAST_UPDATE_USER_AN,LST_UPDT_D) VALUES ('AACV1','AACV1', null, null, 'A','N',NOW_GMT(),'SYSTEM',NOW_GMT());</v>
      </c>
      <c r="G2" s="10" t="s">
        <v>205</v>
      </c>
      <c r="H2" s="11" t="s">
        <v>206</v>
      </c>
      <c r="I2" s="10" t="s">
        <v>75</v>
      </c>
      <c r="J2" s="11" t="s">
        <v>459</v>
      </c>
      <c r="K2" s="194" t="str">
        <f>CONCATENATE(G2,B2,C2,D2,H2,I2,J2)</f>
        <v>INSERT INTO TOS_TRACTOR(TRACTOR_ID,LICENSE_PLATE,SKEY,SITE_KEY,TRACTOR_STATUS_CODE,CREATE_BY,CREATE_TIME) values ('AACV1','AACV1',NEXTVAL('ZARA_SEQUENCE'),(SELECT SKEY FROM CAT_SITE WHERE CODE = 'LQN'),'A','SYSTEM',NOW_GMT());</v>
      </c>
      <c r="L2" s="194"/>
    </row>
    <row r="3" spans="1:14" ht="105" x14ac:dyDescent="0.25">
      <c r="A3" s="10" t="s">
        <v>27</v>
      </c>
      <c r="B3" s="10" t="s">
        <v>474</v>
      </c>
      <c r="C3" s="11" t="s">
        <v>28</v>
      </c>
      <c r="D3" s="10" t="s">
        <v>474</v>
      </c>
      <c r="E3" s="11" t="s">
        <v>29</v>
      </c>
      <c r="F3" s="10" t="str">
        <f t="shared" ref="F3:F21" si="0">CONCATENATE(A3,B3,C3,D3,E3)</f>
        <v>INSERT INTO TMS_TID_TK (TK_I, LICENCE_PLATE_AN, SUSPEND_FROM_TM, SUSPEND_TO_TM, TRACTOR_STATUS_CODE, DELETED, PARTNER_TX_D, LAST_UPDATE_USER_AN,LST_UPDT_D) VALUES ('AACV2','AACV2', null, null, 'A','N',NOW_GMT(),'SYSTEM',NOW_GMT());</v>
      </c>
      <c r="G3" s="10" t="s">
        <v>205</v>
      </c>
      <c r="H3" s="11" t="s">
        <v>206</v>
      </c>
      <c r="I3" s="10" t="s">
        <v>75</v>
      </c>
      <c r="J3" s="11" t="s">
        <v>459</v>
      </c>
      <c r="K3" s="194" t="str">
        <f t="shared" ref="K3:K21" si="1">CONCATENATE(G3,B3,C3,D3,H3,I3,J3)</f>
        <v>INSERT INTO TOS_TRACTOR(TRACTOR_ID,LICENSE_PLATE,SKEY,SITE_KEY,TRACTOR_STATUS_CODE,CREATE_BY,CREATE_TIME) values ('AACV2','AACV2',NEXTVAL('ZARA_SEQUENCE'),(SELECT SKEY FROM CAT_SITE WHERE CODE = 'LQN'),'A','SYSTEM',NOW_GMT());</v>
      </c>
    </row>
    <row r="4" spans="1:14" ht="105" x14ac:dyDescent="0.25">
      <c r="A4" s="10" t="s">
        <v>27</v>
      </c>
      <c r="B4" s="10" t="s">
        <v>475</v>
      </c>
      <c r="C4" s="11" t="s">
        <v>28</v>
      </c>
      <c r="D4" s="10" t="s">
        <v>475</v>
      </c>
      <c r="E4" s="11" t="s">
        <v>29</v>
      </c>
      <c r="F4" s="10" t="str">
        <f t="shared" si="0"/>
        <v>INSERT INTO TMS_TID_TK (TK_I, LICENCE_PLATE_AN, SUSPEND_FROM_TM, SUSPEND_TO_TM, TRACTOR_STATUS_CODE, DELETED, PARTNER_TX_D, LAST_UPDATE_USER_AN,LST_UPDT_D) VALUES ('AACV3','AACV3', null, null, 'A','N',NOW_GMT(),'SYSTEM',NOW_GMT());</v>
      </c>
      <c r="G4" s="10" t="s">
        <v>205</v>
      </c>
      <c r="H4" s="11" t="s">
        <v>206</v>
      </c>
      <c r="I4" s="10" t="s">
        <v>75</v>
      </c>
      <c r="J4" s="11" t="s">
        <v>459</v>
      </c>
      <c r="K4" s="194" t="str">
        <f t="shared" si="1"/>
        <v>INSERT INTO TOS_TRACTOR(TRACTOR_ID,LICENSE_PLATE,SKEY,SITE_KEY,TRACTOR_STATUS_CODE,CREATE_BY,CREATE_TIME) values ('AACV3','AACV3',NEXTVAL('ZARA_SEQUENCE'),(SELECT SKEY FROM CAT_SITE WHERE CODE = 'LQN'),'A','SYSTEM',NOW_GMT());</v>
      </c>
    </row>
    <row r="5" spans="1:14" ht="105" x14ac:dyDescent="0.25">
      <c r="A5" s="10" t="s">
        <v>27</v>
      </c>
      <c r="B5" s="10" t="s">
        <v>476</v>
      </c>
      <c r="C5" s="11" t="s">
        <v>28</v>
      </c>
      <c r="D5" s="10" t="s">
        <v>476</v>
      </c>
      <c r="E5" s="11" t="s">
        <v>29</v>
      </c>
      <c r="F5" s="10" t="str">
        <f t="shared" si="0"/>
        <v>INSERT INTO TMS_TID_TK (TK_I, LICENCE_PLATE_AN, SUSPEND_FROM_TM, SUSPEND_TO_TM, TRACTOR_STATUS_CODE, DELETED, PARTNER_TX_D, LAST_UPDATE_USER_AN,LST_UPDT_D) VALUES ('AACV4','AACV4', null, null, 'A','N',NOW_GMT(),'SYSTEM',NOW_GMT());</v>
      </c>
      <c r="G5" s="10" t="s">
        <v>205</v>
      </c>
      <c r="H5" s="11" t="s">
        <v>206</v>
      </c>
      <c r="I5" s="10" t="s">
        <v>75</v>
      </c>
      <c r="J5" s="11" t="s">
        <v>459</v>
      </c>
      <c r="K5" s="194" t="str">
        <f t="shared" si="1"/>
        <v>INSERT INTO TOS_TRACTOR(TRACTOR_ID,LICENSE_PLATE,SKEY,SITE_KEY,TRACTOR_STATUS_CODE,CREATE_BY,CREATE_TIME) values ('AACV4','AACV4',NEXTVAL('ZARA_SEQUENCE'),(SELECT SKEY FROM CAT_SITE WHERE CODE = 'LQN'),'A','SYSTEM',NOW_GMT());</v>
      </c>
    </row>
    <row r="6" spans="1:14" ht="105" x14ac:dyDescent="0.25">
      <c r="A6" s="10" t="s">
        <v>27</v>
      </c>
      <c r="B6" s="10" t="s">
        <v>477</v>
      </c>
      <c r="C6" s="11" t="s">
        <v>28</v>
      </c>
      <c r="D6" s="10" t="s">
        <v>477</v>
      </c>
      <c r="E6" s="11" t="s">
        <v>29</v>
      </c>
      <c r="F6" s="10" t="str">
        <f t="shared" si="0"/>
        <v>INSERT INTO TMS_TID_TK (TK_I, LICENCE_PLATE_AN, SUSPEND_FROM_TM, SUSPEND_TO_TM, TRACTOR_STATUS_CODE, DELETED, PARTNER_TX_D, LAST_UPDATE_USER_AN,LST_UPDT_D) VALUES ('AACV5','AACV5', null, null, 'A','N',NOW_GMT(),'SYSTEM',NOW_GMT());</v>
      </c>
      <c r="G6" s="10" t="s">
        <v>205</v>
      </c>
      <c r="H6" s="11" t="s">
        <v>206</v>
      </c>
      <c r="I6" s="10" t="s">
        <v>75</v>
      </c>
      <c r="J6" s="11" t="s">
        <v>459</v>
      </c>
      <c r="K6" s="194" t="str">
        <f t="shared" si="1"/>
        <v>INSERT INTO TOS_TRACTOR(TRACTOR_ID,LICENSE_PLATE,SKEY,SITE_KEY,TRACTOR_STATUS_CODE,CREATE_BY,CREATE_TIME) values ('AACV5','AACV5',NEXTVAL('ZARA_SEQUENCE'),(SELECT SKEY FROM CAT_SITE WHERE CODE = 'LQN'),'A','SYSTEM',NOW_GMT());</v>
      </c>
    </row>
    <row r="7" spans="1:14" ht="105" x14ac:dyDescent="0.25">
      <c r="A7" s="10" t="s">
        <v>27</v>
      </c>
      <c r="B7" s="10" t="s">
        <v>478</v>
      </c>
      <c r="C7" s="11" t="s">
        <v>28</v>
      </c>
      <c r="D7" s="10" t="s">
        <v>478</v>
      </c>
      <c r="E7" s="11" t="s">
        <v>29</v>
      </c>
      <c r="F7" s="10" t="str">
        <f t="shared" si="0"/>
        <v>INSERT INTO TMS_TID_TK (TK_I, LICENCE_PLATE_AN, SUSPEND_FROM_TM, SUSPEND_TO_TM, TRACTOR_STATUS_CODE, DELETED, PARTNER_TX_D, LAST_UPDATE_USER_AN,LST_UPDT_D) VALUES ('AACV6','AACV6', null, null, 'A','N',NOW_GMT(),'SYSTEM',NOW_GMT());</v>
      </c>
      <c r="G7" s="10" t="s">
        <v>205</v>
      </c>
      <c r="H7" s="11" t="s">
        <v>206</v>
      </c>
      <c r="I7" s="10" t="s">
        <v>75</v>
      </c>
      <c r="J7" s="11" t="s">
        <v>459</v>
      </c>
      <c r="K7" s="194" t="str">
        <f t="shared" si="1"/>
        <v>INSERT INTO TOS_TRACTOR(TRACTOR_ID,LICENSE_PLATE,SKEY,SITE_KEY,TRACTOR_STATUS_CODE,CREATE_BY,CREATE_TIME) values ('AACV6','AACV6',NEXTVAL('ZARA_SEQUENCE'),(SELECT SKEY FROM CAT_SITE WHERE CODE = 'LQN'),'A','SYSTEM',NOW_GMT());</v>
      </c>
    </row>
    <row r="8" spans="1:14" ht="105" x14ac:dyDescent="0.25">
      <c r="A8" s="10" t="s">
        <v>27</v>
      </c>
      <c r="B8" s="10" t="s">
        <v>479</v>
      </c>
      <c r="C8" s="11" t="s">
        <v>28</v>
      </c>
      <c r="D8" s="10" t="s">
        <v>479</v>
      </c>
      <c r="E8" s="11" t="s">
        <v>29</v>
      </c>
      <c r="F8" s="10" t="str">
        <f t="shared" si="0"/>
        <v>INSERT INTO TMS_TID_TK (TK_I, LICENCE_PLATE_AN, SUSPEND_FROM_TM, SUSPEND_TO_TM, TRACTOR_STATUS_CODE, DELETED, PARTNER_TX_D, LAST_UPDATE_USER_AN,LST_UPDT_D) VALUES ('AACV7','AACV7', null, null, 'A','N',NOW_GMT(),'SYSTEM',NOW_GMT());</v>
      </c>
      <c r="G8" s="10" t="s">
        <v>205</v>
      </c>
      <c r="H8" s="11" t="s">
        <v>206</v>
      </c>
      <c r="I8" s="10" t="s">
        <v>75</v>
      </c>
      <c r="J8" s="11" t="s">
        <v>459</v>
      </c>
      <c r="K8" s="194" t="str">
        <f t="shared" si="1"/>
        <v>INSERT INTO TOS_TRACTOR(TRACTOR_ID,LICENSE_PLATE,SKEY,SITE_KEY,TRACTOR_STATUS_CODE,CREATE_BY,CREATE_TIME) values ('AACV7','AACV7',NEXTVAL('ZARA_SEQUENCE'),(SELECT SKEY FROM CAT_SITE WHERE CODE = 'LQN'),'A','SYSTEM',NOW_GMT());</v>
      </c>
    </row>
    <row r="9" spans="1:14" ht="105" x14ac:dyDescent="0.25">
      <c r="A9" s="10" t="s">
        <v>27</v>
      </c>
      <c r="B9" s="10" t="s">
        <v>480</v>
      </c>
      <c r="C9" s="11" t="s">
        <v>28</v>
      </c>
      <c r="D9" s="10" t="s">
        <v>480</v>
      </c>
      <c r="E9" s="11" t="s">
        <v>29</v>
      </c>
      <c r="F9" s="10" t="str">
        <f t="shared" si="0"/>
        <v>INSERT INTO TMS_TID_TK (TK_I, LICENCE_PLATE_AN, SUSPEND_FROM_TM, SUSPEND_TO_TM, TRACTOR_STATUS_CODE, DELETED, PARTNER_TX_D, LAST_UPDATE_USER_AN,LST_UPDT_D) VALUES ('AACV8','AACV8', null, null, 'A','N',NOW_GMT(),'SYSTEM',NOW_GMT());</v>
      </c>
      <c r="G9" s="10" t="s">
        <v>205</v>
      </c>
      <c r="H9" s="11" t="s">
        <v>206</v>
      </c>
      <c r="I9" s="10" t="s">
        <v>75</v>
      </c>
      <c r="J9" s="11" t="s">
        <v>459</v>
      </c>
      <c r="K9" s="194" t="str">
        <f t="shared" si="1"/>
        <v>INSERT INTO TOS_TRACTOR(TRACTOR_ID,LICENSE_PLATE,SKEY,SITE_KEY,TRACTOR_STATUS_CODE,CREATE_BY,CREATE_TIME) values ('AACV8','AACV8',NEXTVAL('ZARA_SEQUENCE'),(SELECT SKEY FROM CAT_SITE WHERE CODE = 'LQN'),'A','SYSTEM',NOW_GMT());</v>
      </c>
    </row>
    <row r="10" spans="1:14" ht="105" x14ac:dyDescent="0.25">
      <c r="A10" s="10" t="s">
        <v>27</v>
      </c>
      <c r="B10" s="10" t="s">
        <v>481</v>
      </c>
      <c r="C10" s="11" t="s">
        <v>28</v>
      </c>
      <c r="D10" s="10" t="s">
        <v>481</v>
      </c>
      <c r="E10" s="11" t="s">
        <v>29</v>
      </c>
      <c r="F10" s="10" t="str">
        <f t="shared" si="0"/>
        <v>INSERT INTO TMS_TID_TK (TK_I, LICENCE_PLATE_AN, SUSPEND_FROM_TM, SUSPEND_TO_TM, TRACTOR_STATUS_CODE, DELETED, PARTNER_TX_D, LAST_UPDATE_USER_AN,LST_UPDT_D) VALUES ('AACV9','AACV9', null, null, 'A','N',NOW_GMT(),'SYSTEM',NOW_GMT());</v>
      </c>
      <c r="G10" s="10" t="s">
        <v>205</v>
      </c>
      <c r="H10" s="11" t="s">
        <v>206</v>
      </c>
      <c r="I10" s="10" t="s">
        <v>75</v>
      </c>
      <c r="J10" s="11" t="s">
        <v>459</v>
      </c>
      <c r="K10" s="194" t="str">
        <f t="shared" si="1"/>
        <v>INSERT INTO TOS_TRACTOR(TRACTOR_ID,LICENSE_PLATE,SKEY,SITE_KEY,TRACTOR_STATUS_CODE,CREATE_BY,CREATE_TIME) values ('AACV9','AACV9',NEXTVAL('ZARA_SEQUENCE'),(SELECT SKEY FROM CAT_SITE WHERE CODE = 'LQN'),'A','SYSTEM',NOW_GMT());</v>
      </c>
    </row>
    <row r="11" spans="1:14" ht="105" x14ac:dyDescent="0.25">
      <c r="A11" s="10" t="s">
        <v>27</v>
      </c>
      <c r="B11" s="10" t="s">
        <v>482</v>
      </c>
      <c r="C11" s="11" t="s">
        <v>28</v>
      </c>
      <c r="D11" s="10" t="s">
        <v>482</v>
      </c>
      <c r="E11" s="11" t="s">
        <v>29</v>
      </c>
      <c r="F11" s="10" t="str">
        <f t="shared" si="0"/>
        <v>INSERT INTO TMS_TID_TK (TK_I, LICENCE_PLATE_AN, SUSPEND_FROM_TM, SUSPEND_TO_TM, TRACTOR_STATUS_CODE, DELETED, PARTNER_TX_D, LAST_UPDATE_USER_AN,LST_UPDT_D) VALUES ('AACV10','AACV10', null, null, 'A','N',NOW_GMT(),'SYSTEM',NOW_GMT());</v>
      </c>
      <c r="G11" s="10" t="s">
        <v>205</v>
      </c>
      <c r="H11" s="11" t="s">
        <v>206</v>
      </c>
      <c r="I11" s="10" t="s">
        <v>75</v>
      </c>
      <c r="J11" s="11" t="s">
        <v>459</v>
      </c>
      <c r="K11" s="194" t="str">
        <f t="shared" si="1"/>
        <v>INSERT INTO TOS_TRACTOR(TRACTOR_ID,LICENSE_PLATE,SKEY,SITE_KEY,TRACTOR_STATUS_CODE,CREATE_BY,CREATE_TIME) values ('AACV10','AACV10',NEXTVAL('ZARA_SEQUENCE'),(SELECT SKEY FROM CAT_SITE WHERE CODE = 'LQN'),'A','SYSTEM',NOW_GMT());</v>
      </c>
    </row>
    <row r="12" spans="1:14" ht="105" x14ac:dyDescent="0.25">
      <c r="A12" s="10" t="s">
        <v>27</v>
      </c>
      <c r="B12" s="10" t="s">
        <v>483</v>
      </c>
      <c r="C12" s="11" t="s">
        <v>28</v>
      </c>
      <c r="D12" s="10" t="s">
        <v>483</v>
      </c>
      <c r="E12" s="11" t="s">
        <v>29</v>
      </c>
      <c r="F12" s="10" t="str">
        <f t="shared" si="0"/>
        <v>INSERT INTO TMS_TID_TK (TK_I, LICENCE_PLATE_AN, SUSPEND_FROM_TM, SUSPEND_TO_TM, TRACTOR_STATUS_CODE, DELETED, PARTNER_TX_D, LAST_UPDATE_USER_AN,LST_UPDT_D) VALUES ('AACV11','AACV11', null, null, 'A','N',NOW_GMT(),'SYSTEM',NOW_GMT());</v>
      </c>
      <c r="G12" s="10" t="s">
        <v>205</v>
      </c>
      <c r="H12" s="11" t="s">
        <v>206</v>
      </c>
      <c r="I12" s="10" t="s">
        <v>75</v>
      </c>
      <c r="J12" s="11" t="s">
        <v>459</v>
      </c>
      <c r="K12" s="194" t="str">
        <f t="shared" si="1"/>
        <v>INSERT INTO TOS_TRACTOR(TRACTOR_ID,LICENSE_PLATE,SKEY,SITE_KEY,TRACTOR_STATUS_CODE,CREATE_BY,CREATE_TIME) values ('AACV11','AACV11',NEXTVAL('ZARA_SEQUENCE'),(SELECT SKEY FROM CAT_SITE WHERE CODE = 'LQN'),'A','SYSTEM',NOW_GMT());</v>
      </c>
    </row>
    <row r="13" spans="1:14" ht="105" x14ac:dyDescent="0.25">
      <c r="A13" s="10" t="s">
        <v>27</v>
      </c>
      <c r="B13" s="10" t="s">
        <v>484</v>
      </c>
      <c r="C13" s="11" t="s">
        <v>28</v>
      </c>
      <c r="D13" s="10" t="s">
        <v>484</v>
      </c>
      <c r="E13" s="11" t="s">
        <v>29</v>
      </c>
      <c r="F13" s="10" t="str">
        <f t="shared" si="0"/>
        <v>INSERT INTO TMS_TID_TK (TK_I, LICENCE_PLATE_AN, SUSPEND_FROM_TM, SUSPEND_TO_TM, TRACTOR_STATUS_CODE, DELETED, PARTNER_TX_D, LAST_UPDATE_USER_AN,LST_UPDT_D) VALUES ('AACV12','AACV12', null, null, 'A','N',NOW_GMT(),'SYSTEM',NOW_GMT());</v>
      </c>
      <c r="G13" s="10" t="s">
        <v>205</v>
      </c>
      <c r="H13" s="11" t="s">
        <v>206</v>
      </c>
      <c r="I13" s="10" t="s">
        <v>75</v>
      </c>
      <c r="J13" s="11" t="s">
        <v>459</v>
      </c>
      <c r="K13" s="194" t="str">
        <f t="shared" si="1"/>
        <v>INSERT INTO TOS_TRACTOR(TRACTOR_ID,LICENSE_PLATE,SKEY,SITE_KEY,TRACTOR_STATUS_CODE,CREATE_BY,CREATE_TIME) values ('AACV12','AACV12',NEXTVAL('ZARA_SEQUENCE'),(SELECT SKEY FROM CAT_SITE WHERE CODE = 'LQN'),'A','SYSTEM',NOW_GMT());</v>
      </c>
    </row>
    <row r="14" spans="1:14" ht="105" x14ac:dyDescent="0.25">
      <c r="A14" s="10" t="s">
        <v>27</v>
      </c>
      <c r="B14" s="10" t="s">
        <v>485</v>
      </c>
      <c r="C14" s="11" t="s">
        <v>28</v>
      </c>
      <c r="D14" s="10" t="s">
        <v>485</v>
      </c>
      <c r="E14" s="11" t="s">
        <v>29</v>
      </c>
      <c r="F14" s="10" t="str">
        <f t="shared" si="0"/>
        <v>INSERT INTO TMS_TID_TK (TK_I, LICENCE_PLATE_AN, SUSPEND_FROM_TM, SUSPEND_TO_TM, TRACTOR_STATUS_CODE, DELETED, PARTNER_TX_D, LAST_UPDATE_USER_AN,LST_UPDT_D) VALUES ('AACV13','AACV13', null, null, 'A','N',NOW_GMT(),'SYSTEM',NOW_GMT());</v>
      </c>
      <c r="G14" s="10" t="s">
        <v>205</v>
      </c>
      <c r="H14" s="11" t="s">
        <v>206</v>
      </c>
      <c r="I14" s="10" t="s">
        <v>75</v>
      </c>
      <c r="J14" s="11" t="s">
        <v>459</v>
      </c>
      <c r="K14" s="194" t="str">
        <f t="shared" si="1"/>
        <v>INSERT INTO TOS_TRACTOR(TRACTOR_ID,LICENSE_PLATE,SKEY,SITE_KEY,TRACTOR_STATUS_CODE,CREATE_BY,CREATE_TIME) values ('AACV13','AACV13',NEXTVAL('ZARA_SEQUENCE'),(SELECT SKEY FROM CAT_SITE WHERE CODE = 'LQN'),'A','SYSTEM',NOW_GMT());</v>
      </c>
    </row>
    <row r="15" spans="1:14" ht="105" x14ac:dyDescent="0.25">
      <c r="A15" s="10" t="s">
        <v>27</v>
      </c>
      <c r="B15" s="10" t="s">
        <v>486</v>
      </c>
      <c r="C15" s="11" t="s">
        <v>28</v>
      </c>
      <c r="D15" s="10" t="s">
        <v>486</v>
      </c>
      <c r="E15" s="11" t="s">
        <v>29</v>
      </c>
      <c r="F15" s="10" t="str">
        <f t="shared" si="0"/>
        <v>INSERT INTO TMS_TID_TK (TK_I, LICENCE_PLATE_AN, SUSPEND_FROM_TM, SUSPEND_TO_TM, TRACTOR_STATUS_CODE, DELETED, PARTNER_TX_D, LAST_UPDATE_USER_AN,LST_UPDT_D) VALUES ('AACV14','AACV14', null, null, 'A','N',NOW_GMT(),'SYSTEM',NOW_GMT());</v>
      </c>
      <c r="G15" s="10" t="s">
        <v>205</v>
      </c>
      <c r="H15" s="11" t="s">
        <v>206</v>
      </c>
      <c r="I15" s="10" t="s">
        <v>75</v>
      </c>
      <c r="J15" s="11" t="s">
        <v>459</v>
      </c>
      <c r="K15" s="194" t="str">
        <f t="shared" si="1"/>
        <v>INSERT INTO TOS_TRACTOR(TRACTOR_ID,LICENSE_PLATE,SKEY,SITE_KEY,TRACTOR_STATUS_CODE,CREATE_BY,CREATE_TIME) values ('AACV14','AACV14',NEXTVAL('ZARA_SEQUENCE'),(SELECT SKEY FROM CAT_SITE WHERE CODE = 'LQN'),'A','SYSTEM',NOW_GMT());</v>
      </c>
    </row>
    <row r="16" spans="1:14" ht="105" x14ac:dyDescent="0.25">
      <c r="A16" s="10" t="s">
        <v>27</v>
      </c>
      <c r="B16" s="10" t="s">
        <v>487</v>
      </c>
      <c r="C16" s="11" t="s">
        <v>28</v>
      </c>
      <c r="D16" s="10" t="s">
        <v>487</v>
      </c>
      <c r="E16" s="11" t="s">
        <v>29</v>
      </c>
      <c r="F16" s="10" t="str">
        <f t="shared" si="0"/>
        <v>INSERT INTO TMS_TID_TK (TK_I, LICENCE_PLATE_AN, SUSPEND_FROM_TM, SUSPEND_TO_TM, TRACTOR_STATUS_CODE, DELETED, PARTNER_TX_D, LAST_UPDATE_USER_AN,LST_UPDT_D) VALUES ('AACV15','AACV15', null, null, 'A','N',NOW_GMT(),'SYSTEM',NOW_GMT());</v>
      </c>
      <c r="G16" s="10" t="s">
        <v>205</v>
      </c>
      <c r="H16" s="11" t="s">
        <v>206</v>
      </c>
      <c r="I16" s="10" t="s">
        <v>75</v>
      </c>
      <c r="J16" s="11" t="s">
        <v>459</v>
      </c>
      <c r="K16" s="194" t="str">
        <f t="shared" si="1"/>
        <v>INSERT INTO TOS_TRACTOR(TRACTOR_ID,LICENSE_PLATE,SKEY,SITE_KEY,TRACTOR_STATUS_CODE,CREATE_BY,CREATE_TIME) values ('AACV15','AACV15',NEXTVAL('ZARA_SEQUENCE'),(SELECT SKEY FROM CAT_SITE WHERE CODE = 'LQN'),'A','SYSTEM',NOW_GMT());</v>
      </c>
    </row>
    <row r="17" spans="1:11" ht="105" x14ac:dyDescent="0.25">
      <c r="A17" s="10" t="s">
        <v>27</v>
      </c>
      <c r="B17" s="10" t="s">
        <v>488</v>
      </c>
      <c r="C17" s="11" t="s">
        <v>28</v>
      </c>
      <c r="D17" s="10" t="s">
        <v>488</v>
      </c>
      <c r="E17" s="11" t="s">
        <v>29</v>
      </c>
      <c r="F17" s="10" t="str">
        <f t="shared" si="0"/>
        <v>INSERT INTO TMS_TID_TK (TK_I, LICENCE_PLATE_AN, SUSPEND_FROM_TM, SUSPEND_TO_TM, TRACTOR_STATUS_CODE, DELETED, PARTNER_TX_D, LAST_UPDATE_USER_AN,LST_UPDT_D) VALUES ('AACV16','AACV16', null, null, 'A','N',NOW_GMT(),'SYSTEM',NOW_GMT());</v>
      </c>
      <c r="G17" s="10" t="s">
        <v>205</v>
      </c>
      <c r="H17" s="11" t="s">
        <v>206</v>
      </c>
      <c r="I17" s="10" t="s">
        <v>75</v>
      </c>
      <c r="J17" s="11" t="s">
        <v>459</v>
      </c>
      <c r="K17" s="194" t="str">
        <f t="shared" si="1"/>
        <v>INSERT INTO TOS_TRACTOR(TRACTOR_ID,LICENSE_PLATE,SKEY,SITE_KEY,TRACTOR_STATUS_CODE,CREATE_BY,CREATE_TIME) values ('AACV16','AACV16',NEXTVAL('ZARA_SEQUENCE'),(SELECT SKEY FROM CAT_SITE WHERE CODE = 'LQN'),'A','SYSTEM',NOW_GMT());</v>
      </c>
    </row>
    <row r="18" spans="1:11" ht="105" x14ac:dyDescent="0.25">
      <c r="A18" s="10" t="s">
        <v>27</v>
      </c>
      <c r="B18" s="10" t="s">
        <v>489</v>
      </c>
      <c r="C18" s="11" t="s">
        <v>28</v>
      </c>
      <c r="D18" s="10" t="s">
        <v>489</v>
      </c>
      <c r="E18" s="11" t="s">
        <v>29</v>
      </c>
      <c r="F18" s="10" t="str">
        <f t="shared" si="0"/>
        <v>INSERT INTO TMS_TID_TK (TK_I, LICENCE_PLATE_AN, SUSPEND_FROM_TM, SUSPEND_TO_TM, TRACTOR_STATUS_CODE, DELETED, PARTNER_TX_D, LAST_UPDATE_USER_AN,LST_UPDT_D) VALUES ('AACV17','AACV17', null, null, 'A','N',NOW_GMT(),'SYSTEM',NOW_GMT());</v>
      </c>
      <c r="G18" s="10" t="s">
        <v>205</v>
      </c>
      <c r="H18" s="11" t="s">
        <v>206</v>
      </c>
      <c r="I18" s="10" t="s">
        <v>75</v>
      </c>
      <c r="J18" s="11" t="s">
        <v>459</v>
      </c>
      <c r="K18" s="194" t="str">
        <f t="shared" si="1"/>
        <v>INSERT INTO TOS_TRACTOR(TRACTOR_ID,LICENSE_PLATE,SKEY,SITE_KEY,TRACTOR_STATUS_CODE,CREATE_BY,CREATE_TIME) values ('AACV17','AACV17',NEXTVAL('ZARA_SEQUENCE'),(SELECT SKEY FROM CAT_SITE WHERE CODE = 'LQN'),'A','SYSTEM',NOW_GMT());</v>
      </c>
    </row>
    <row r="19" spans="1:11" ht="105" x14ac:dyDescent="0.25">
      <c r="A19" s="10" t="s">
        <v>27</v>
      </c>
      <c r="B19" s="10" t="s">
        <v>490</v>
      </c>
      <c r="C19" s="11" t="s">
        <v>28</v>
      </c>
      <c r="D19" s="10" t="s">
        <v>490</v>
      </c>
      <c r="E19" s="11" t="s">
        <v>29</v>
      </c>
      <c r="F19" s="10" t="str">
        <f t="shared" si="0"/>
        <v>INSERT INTO TMS_TID_TK (TK_I, LICENCE_PLATE_AN, SUSPEND_FROM_TM, SUSPEND_TO_TM, TRACTOR_STATUS_CODE, DELETED, PARTNER_TX_D, LAST_UPDATE_USER_AN,LST_UPDT_D) VALUES ('AACV18','AACV18', null, null, 'A','N',NOW_GMT(),'SYSTEM',NOW_GMT());</v>
      </c>
      <c r="G19" s="10" t="s">
        <v>205</v>
      </c>
      <c r="H19" s="11" t="s">
        <v>206</v>
      </c>
      <c r="I19" s="10" t="s">
        <v>75</v>
      </c>
      <c r="J19" s="11" t="s">
        <v>459</v>
      </c>
      <c r="K19" s="194" t="str">
        <f t="shared" si="1"/>
        <v>INSERT INTO TOS_TRACTOR(TRACTOR_ID,LICENSE_PLATE,SKEY,SITE_KEY,TRACTOR_STATUS_CODE,CREATE_BY,CREATE_TIME) values ('AACV18','AACV18',NEXTVAL('ZARA_SEQUENCE'),(SELECT SKEY FROM CAT_SITE WHERE CODE = 'LQN'),'A','SYSTEM',NOW_GMT());</v>
      </c>
    </row>
    <row r="20" spans="1:11" ht="105" x14ac:dyDescent="0.25">
      <c r="A20" s="10" t="s">
        <v>27</v>
      </c>
      <c r="B20" s="10" t="s">
        <v>491</v>
      </c>
      <c r="C20" s="11" t="s">
        <v>28</v>
      </c>
      <c r="D20" s="10" t="s">
        <v>491</v>
      </c>
      <c r="E20" s="11" t="s">
        <v>29</v>
      </c>
      <c r="F20" s="10" t="str">
        <f t="shared" si="0"/>
        <v>INSERT INTO TMS_TID_TK (TK_I, LICENCE_PLATE_AN, SUSPEND_FROM_TM, SUSPEND_TO_TM, TRACTOR_STATUS_CODE, DELETED, PARTNER_TX_D, LAST_UPDATE_USER_AN,LST_UPDT_D) VALUES ('AACV19','AACV19', null, null, 'A','N',NOW_GMT(),'SYSTEM',NOW_GMT());</v>
      </c>
      <c r="G20" s="10" t="s">
        <v>205</v>
      </c>
      <c r="H20" s="11" t="s">
        <v>206</v>
      </c>
      <c r="I20" s="10" t="s">
        <v>75</v>
      </c>
      <c r="J20" s="11" t="s">
        <v>459</v>
      </c>
      <c r="K20" s="194" t="str">
        <f t="shared" si="1"/>
        <v>INSERT INTO TOS_TRACTOR(TRACTOR_ID,LICENSE_PLATE,SKEY,SITE_KEY,TRACTOR_STATUS_CODE,CREATE_BY,CREATE_TIME) values ('AACV19','AACV19',NEXTVAL('ZARA_SEQUENCE'),(SELECT SKEY FROM CAT_SITE WHERE CODE = 'LQN'),'A','SYSTEM',NOW_GMT());</v>
      </c>
    </row>
    <row r="21" spans="1:11" ht="105" x14ac:dyDescent="0.25">
      <c r="A21" s="10" t="s">
        <v>27</v>
      </c>
      <c r="B21" s="10" t="s">
        <v>492</v>
      </c>
      <c r="C21" s="11" t="s">
        <v>28</v>
      </c>
      <c r="D21" s="10" t="s">
        <v>492</v>
      </c>
      <c r="E21" s="11" t="s">
        <v>29</v>
      </c>
      <c r="F21" s="10" t="str">
        <f t="shared" si="0"/>
        <v>INSERT INTO TMS_TID_TK (TK_I, LICENCE_PLATE_AN, SUSPEND_FROM_TM, SUSPEND_TO_TM, TRACTOR_STATUS_CODE, DELETED, PARTNER_TX_D, LAST_UPDATE_USER_AN,LST_UPDT_D) VALUES ('AACV20','AACV20', null, null, 'A','N',NOW_GMT(),'SYSTEM',NOW_GMT());</v>
      </c>
      <c r="G21" s="10" t="s">
        <v>205</v>
      </c>
      <c r="H21" s="11" t="s">
        <v>206</v>
      </c>
      <c r="I21" s="10" t="s">
        <v>75</v>
      </c>
      <c r="J21" s="11" t="s">
        <v>459</v>
      </c>
      <c r="K21" s="194" t="str">
        <f t="shared" si="1"/>
        <v>INSERT INTO TOS_TRACTOR(TRACTOR_ID,LICENSE_PLATE,SKEY,SITE_KEY,TRACTOR_STATUS_CODE,CREATE_BY,CREATE_TIME) values ('AACV20','AACV20',NEXTVAL('ZARA_SEQUENCE'),(SELECT SKEY FROM CAT_SITE WHERE CODE = 'LQN'),'A','SYSTEM',NOW_GMT());</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1"/>
  <sheetViews>
    <sheetView zoomScale="70" zoomScaleNormal="70" workbookViewId="0">
      <selection activeCell="O3" sqref="O3"/>
    </sheetView>
  </sheetViews>
  <sheetFormatPr defaultRowHeight="15" x14ac:dyDescent="0.25"/>
  <cols>
    <col min="1" max="1" width="79.28515625" style="17" customWidth="1"/>
    <col min="2" max="3" width="5.28515625" style="17" customWidth="1"/>
    <col min="4" max="4" width="18.85546875" style="17" customWidth="1"/>
    <col min="5" max="5" width="5.28515625" style="17" customWidth="1"/>
    <col min="6" max="6" width="18.85546875" style="17" customWidth="1"/>
    <col min="7" max="7" width="19" style="17" customWidth="1"/>
    <col min="8" max="8" width="76.28515625" style="18" customWidth="1"/>
    <col min="9" max="9" width="60.42578125" style="17" customWidth="1"/>
    <col min="10" max="10" width="39.85546875" style="17" customWidth="1"/>
    <col min="11" max="14" width="9.85546875" style="17" customWidth="1"/>
    <col min="15" max="15" width="94.140625" style="17" customWidth="1"/>
    <col min="16" max="16384" width="9.140625" style="17"/>
  </cols>
  <sheetData>
    <row r="1" spans="1:15" s="13" customFormat="1" ht="18.75" x14ac:dyDescent="0.3">
      <c r="A1" s="12"/>
      <c r="B1" s="12"/>
      <c r="C1" s="12"/>
      <c r="D1" s="7" t="s">
        <v>19</v>
      </c>
      <c r="E1" s="7"/>
      <c r="F1" s="6" t="s">
        <v>20</v>
      </c>
      <c r="G1" s="12"/>
      <c r="H1" s="196" t="s">
        <v>525</v>
      </c>
      <c r="I1" s="197"/>
      <c r="J1" s="197"/>
      <c r="K1" s="197"/>
      <c r="L1" s="197"/>
      <c r="M1" s="197"/>
      <c r="N1" s="197"/>
      <c r="O1" s="196" t="s">
        <v>194</v>
      </c>
    </row>
    <row r="2" spans="1:15" ht="148.5" customHeight="1" x14ac:dyDescent="0.25">
      <c r="A2" s="14" t="s">
        <v>30</v>
      </c>
      <c r="B2" s="14" t="s">
        <v>31</v>
      </c>
      <c r="C2" s="15" t="s">
        <v>32</v>
      </c>
      <c r="D2" s="15" t="s">
        <v>468</v>
      </c>
      <c r="E2" s="15" t="s">
        <v>28</v>
      </c>
      <c r="F2" s="10" t="s">
        <v>473</v>
      </c>
      <c r="G2" s="15" t="s">
        <v>33</v>
      </c>
      <c r="H2" s="16" t="str">
        <f>CONCATENATE(A2,B2,C2,D2,E2,F2,G2)</f>
        <v>INSERT INTO TMS_TID_TKCO_TK (TK_CO_I, TK_I, DELETED, LAST_UPDATE_TM, LAST_UPDATE_USER_AN) VALUES ('AACV','AACV1','N',NOW_GMT(),'SYSTEM');</v>
      </c>
      <c r="I2" s="194" t="s">
        <v>207</v>
      </c>
      <c r="J2" s="195" t="s">
        <v>208</v>
      </c>
      <c r="K2" s="194" t="s">
        <v>75</v>
      </c>
      <c r="L2" s="195" t="s">
        <v>209</v>
      </c>
      <c r="M2" s="195" t="s">
        <v>210</v>
      </c>
      <c r="N2" s="195" t="s">
        <v>211</v>
      </c>
      <c r="O2" s="194" t="str">
        <f>CONCATENATE(I2,D2,C2,J2,K2,L2,F2,M2,K2,N2)</f>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 AND  SITE_KEY = (SELECT SKEY FROM CAT_SITE WHERE CODE = 'LQN')),'SYSTEM',NOW_GMT());</v>
      </c>
    </row>
    <row r="3" spans="1:15" ht="120" x14ac:dyDescent="0.25">
      <c r="A3" s="14" t="s">
        <v>30</v>
      </c>
      <c r="B3" s="14" t="s">
        <v>31</v>
      </c>
      <c r="C3" s="15" t="s">
        <v>32</v>
      </c>
      <c r="D3" s="15" t="s">
        <v>468</v>
      </c>
      <c r="E3" s="15" t="s">
        <v>28</v>
      </c>
      <c r="F3" s="17" t="s">
        <v>474</v>
      </c>
      <c r="G3" s="15" t="s">
        <v>33</v>
      </c>
      <c r="H3" s="16" t="str">
        <f t="shared" ref="H3:H21" si="0">CONCATENATE(A3,B3,C3,D3,E3,F3,G3)</f>
        <v>INSERT INTO TMS_TID_TKCO_TK (TK_CO_I, TK_I, DELETED, LAST_UPDATE_TM, LAST_UPDATE_USER_AN) VALUES ('AACV','AACV2','N',NOW_GMT(),'SYSTEM');</v>
      </c>
      <c r="I3" s="194" t="s">
        <v>207</v>
      </c>
      <c r="J3" s="195" t="s">
        <v>208</v>
      </c>
      <c r="K3" s="194" t="s">
        <v>75</v>
      </c>
      <c r="L3" s="195" t="s">
        <v>209</v>
      </c>
      <c r="M3" s="195" t="s">
        <v>210</v>
      </c>
      <c r="N3" s="195" t="s">
        <v>211</v>
      </c>
      <c r="O3" s="194" t="str">
        <f t="shared" ref="O3:O21" si="1">CONCATENATE(I3,D3,C3,J3,K3,L3,F3,M3,K3,N3)</f>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'AACV2' AND  SITE_KEY = (SELECT SKEY FROM CAT_SITE WHERE CODE = 'LQN')),'SYSTEM',NOW_GMT());</v>
      </c>
    </row>
    <row r="4" spans="1:15" ht="120" x14ac:dyDescent="0.25">
      <c r="A4" s="14" t="s">
        <v>30</v>
      </c>
      <c r="B4" s="14" t="s">
        <v>31</v>
      </c>
      <c r="C4" s="15" t="s">
        <v>32</v>
      </c>
      <c r="D4" s="15" t="s">
        <v>468</v>
      </c>
      <c r="E4" s="15" t="s">
        <v>28</v>
      </c>
      <c r="F4" s="17" t="s">
        <v>475</v>
      </c>
      <c r="G4" s="15" t="s">
        <v>33</v>
      </c>
      <c r="H4" s="16" t="str">
        <f t="shared" si="0"/>
        <v>INSERT INTO TMS_TID_TKCO_TK (TK_CO_I, TK_I, DELETED, LAST_UPDATE_TM, LAST_UPDATE_USER_AN) VALUES ('AACV','AACV3','N',NOW_GMT(),'SYSTEM');</v>
      </c>
      <c r="I4" s="194" t="s">
        <v>207</v>
      </c>
      <c r="J4" s="195" t="s">
        <v>208</v>
      </c>
      <c r="K4" s="194" t="s">
        <v>75</v>
      </c>
      <c r="L4" s="195" t="s">
        <v>209</v>
      </c>
      <c r="M4" s="195" t="s">
        <v>210</v>
      </c>
      <c r="N4" s="195" t="s">
        <v>211</v>
      </c>
      <c r="O4"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'AACV3' AND  SITE_KEY = (SELECT SKEY FROM CAT_SITE WHERE CODE = 'LQN')),'SYSTEM',NOW_GMT());</v>
      </c>
    </row>
    <row r="5" spans="1:15" ht="120" x14ac:dyDescent="0.25">
      <c r="A5" s="14" t="s">
        <v>30</v>
      </c>
      <c r="B5" s="14" t="s">
        <v>31</v>
      </c>
      <c r="C5" s="15" t="s">
        <v>32</v>
      </c>
      <c r="D5" s="15" t="s">
        <v>468</v>
      </c>
      <c r="E5" s="15" t="s">
        <v>28</v>
      </c>
      <c r="F5" s="17" t="s">
        <v>476</v>
      </c>
      <c r="G5" s="15" t="s">
        <v>33</v>
      </c>
      <c r="H5" s="16" t="str">
        <f t="shared" si="0"/>
        <v>INSERT INTO TMS_TID_TKCO_TK (TK_CO_I, TK_I, DELETED, LAST_UPDATE_TM, LAST_UPDATE_USER_AN) VALUES ('AACV','AACV4','N',NOW_GMT(),'SYSTEM');</v>
      </c>
      <c r="I5" s="194" t="s">
        <v>207</v>
      </c>
      <c r="J5" s="195" t="s">
        <v>208</v>
      </c>
      <c r="K5" s="194" t="s">
        <v>75</v>
      </c>
      <c r="L5" s="195" t="s">
        <v>209</v>
      </c>
      <c r="M5" s="195" t="s">
        <v>210</v>
      </c>
      <c r="N5" s="195" t="s">
        <v>211</v>
      </c>
      <c r="O5"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'AACV4' AND  SITE_KEY = (SELECT SKEY FROM CAT_SITE WHERE CODE = 'LQN')),'SYSTEM',NOW_GMT());</v>
      </c>
    </row>
    <row r="6" spans="1:15" ht="120" x14ac:dyDescent="0.25">
      <c r="A6" s="14" t="s">
        <v>30</v>
      </c>
      <c r="B6" s="14" t="s">
        <v>31</v>
      </c>
      <c r="C6" s="15" t="s">
        <v>32</v>
      </c>
      <c r="D6" s="15" t="s">
        <v>468</v>
      </c>
      <c r="E6" s="15" t="s">
        <v>28</v>
      </c>
      <c r="F6" s="17" t="s">
        <v>477</v>
      </c>
      <c r="G6" s="15" t="s">
        <v>33</v>
      </c>
      <c r="H6" s="16" t="str">
        <f t="shared" si="0"/>
        <v>INSERT INTO TMS_TID_TKCO_TK (TK_CO_I, TK_I, DELETED, LAST_UPDATE_TM, LAST_UPDATE_USER_AN) VALUES ('AACV','AACV5','N',NOW_GMT(),'SYSTEM');</v>
      </c>
      <c r="I6" s="194" t="s">
        <v>207</v>
      </c>
      <c r="J6" s="195" t="s">
        <v>208</v>
      </c>
      <c r="K6" s="194" t="s">
        <v>75</v>
      </c>
      <c r="L6" s="195" t="s">
        <v>209</v>
      </c>
      <c r="M6" s="195" t="s">
        <v>210</v>
      </c>
      <c r="N6" s="195" t="s">
        <v>211</v>
      </c>
      <c r="O6"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'AACV5' AND  SITE_KEY = (SELECT SKEY FROM CAT_SITE WHERE CODE = 'LQN')),'SYSTEM',NOW_GMT());</v>
      </c>
    </row>
    <row r="7" spans="1:15" ht="120" x14ac:dyDescent="0.25">
      <c r="A7" s="14" t="s">
        <v>30</v>
      </c>
      <c r="B7" s="14" t="s">
        <v>31</v>
      </c>
      <c r="C7" s="15" t="s">
        <v>32</v>
      </c>
      <c r="D7" s="15" t="s">
        <v>468</v>
      </c>
      <c r="E7" s="15" t="s">
        <v>28</v>
      </c>
      <c r="F7" s="17" t="s">
        <v>478</v>
      </c>
      <c r="G7" s="15" t="s">
        <v>33</v>
      </c>
      <c r="H7" s="16" t="str">
        <f t="shared" si="0"/>
        <v>INSERT INTO TMS_TID_TKCO_TK (TK_CO_I, TK_I, DELETED, LAST_UPDATE_TM, LAST_UPDATE_USER_AN) VALUES ('AACV','AACV6','N',NOW_GMT(),'SYSTEM');</v>
      </c>
      <c r="I7" s="194" t="s">
        <v>207</v>
      </c>
      <c r="J7" s="195" t="s">
        <v>208</v>
      </c>
      <c r="K7" s="194" t="s">
        <v>75</v>
      </c>
      <c r="L7" s="195" t="s">
        <v>209</v>
      </c>
      <c r="M7" s="195" t="s">
        <v>210</v>
      </c>
      <c r="N7" s="195" t="s">
        <v>211</v>
      </c>
      <c r="O7"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'AACV6' AND  SITE_KEY = (SELECT SKEY FROM CAT_SITE WHERE CODE = 'LQN')),'SYSTEM',NOW_GMT());</v>
      </c>
    </row>
    <row r="8" spans="1:15" ht="120" x14ac:dyDescent="0.25">
      <c r="A8" s="14" t="s">
        <v>30</v>
      </c>
      <c r="B8" s="14" t="s">
        <v>31</v>
      </c>
      <c r="C8" s="15" t="s">
        <v>32</v>
      </c>
      <c r="D8" s="15" t="s">
        <v>468</v>
      </c>
      <c r="E8" s="15" t="s">
        <v>28</v>
      </c>
      <c r="F8" s="17" t="s">
        <v>479</v>
      </c>
      <c r="G8" s="15" t="s">
        <v>33</v>
      </c>
      <c r="H8" s="16" t="str">
        <f t="shared" si="0"/>
        <v>INSERT INTO TMS_TID_TKCO_TK (TK_CO_I, TK_I, DELETED, LAST_UPDATE_TM, LAST_UPDATE_USER_AN) VALUES ('AACV','AACV7','N',NOW_GMT(),'SYSTEM');</v>
      </c>
      <c r="I8" s="194" t="s">
        <v>207</v>
      </c>
      <c r="J8" s="195" t="s">
        <v>208</v>
      </c>
      <c r="K8" s="194" t="s">
        <v>75</v>
      </c>
      <c r="L8" s="195" t="s">
        <v>209</v>
      </c>
      <c r="M8" s="195" t="s">
        <v>210</v>
      </c>
      <c r="N8" s="195" t="s">
        <v>211</v>
      </c>
      <c r="O8"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'AACV7' AND  SITE_KEY = (SELECT SKEY FROM CAT_SITE WHERE CODE = 'LQN')),'SYSTEM',NOW_GMT());</v>
      </c>
    </row>
    <row r="9" spans="1:15" ht="120" x14ac:dyDescent="0.25">
      <c r="A9" s="14" t="s">
        <v>30</v>
      </c>
      <c r="B9" s="14" t="s">
        <v>31</v>
      </c>
      <c r="C9" s="15" t="s">
        <v>32</v>
      </c>
      <c r="D9" s="15" t="s">
        <v>468</v>
      </c>
      <c r="E9" s="15" t="s">
        <v>28</v>
      </c>
      <c r="F9" s="17" t="s">
        <v>480</v>
      </c>
      <c r="G9" s="15" t="s">
        <v>33</v>
      </c>
      <c r="H9" s="16" t="str">
        <f t="shared" si="0"/>
        <v>INSERT INTO TMS_TID_TKCO_TK (TK_CO_I, TK_I, DELETED, LAST_UPDATE_TM, LAST_UPDATE_USER_AN) VALUES ('AACV','AACV8','N',NOW_GMT(),'SYSTEM');</v>
      </c>
      <c r="I9" s="194" t="s">
        <v>207</v>
      </c>
      <c r="J9" s="195" t="s">
        <v>208</v>
      </c>
      <c r="K9" s="194" t="s">
        <v>75</v>
      </c>
      <c r="L9" s="195" t="s">
        <v>209</v>
      </c>
      <c r="M9" s="195" t="s">
        <v>210</v>
      </c>
      <c r="N9" s="195" t="s">
        <v>211</v>
      </c>
      <c r="O9"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'AACV8' AND  SITE_KEY = (SELECT SKEY FROM CAT_SITE WHERE CODE = 'LQN')),'SYSTEM',NOW_GMT());</v>
      </c>
    </row>
    <row r="10" spans="1:15" ht="120" x14ac:dyDescent="0.25">
      <c r="A10" s="14" t="s">
        <v>30</v>
      </c>
      <c r="B10" s="14" t="s">
        <v>31</v>
      </c>
      <c r="C10" s="15" t="s">
        <v>32</v>
      </c>
      <c r="D10" s="15" t="s">
        <v>468</v>
      </c>
      <c r="E10" s="15" t="s">
        <v>28</v>
      </c>
      <c r="F10" s="17" t="s">
        <v>481</v>
      </c>
      <c r="G10" s="15" t="s">
        <v>33</v>
      </c>
      <c r="H10" s="16" t="str">
        <f t="shared" si="0"/>
        <v>INSERT INTO TMS_TID_TKCO_TK (TK_CO_I, TK_I, DELETED, LAST_UPDATE_TM, LAST_UPDATE_USER_AN) VALUES ('AACV','AACV9','N',NOW_GMT(),'SYSTEM');</v>
      </c>
      <c r="I10" s="194" t="s">
        <v>207</v>
      </c>
      <c r="J10" s="195" t="s">
        <v>208</v>
      </c>
      <c r="K10" s="194" t="s">
        <v>75</v>
      </c>
      <c r="L10" s="195" t="s">
        <v>209</v>
      </c>
      <c r="M10" s="195" t="s">
        <v>210</v>
      </c>
      <c r="N10" s="195" t="s">
        <v>211</v>
      </c>
      <c r="O10"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'AACV9' AND  SITE_KEY = (SELECT SKEY FROM CAT_SITE WHERE CODE = 'LQN')),'SYSTEM',NOW_GMT());</v>
      </c>
    </row>
    <row r="11" spans="1:15" ht="120" x14ac:dyDescent="0.25">
      <c r="A11" s="14" t="s">
        <v>30</v>
      </c>
      <c r="B11" s="14" t="s">
        <v>31</v>
      </c>
      <c r="C11" s="15" t="s">
        <v>32</v>
      </c>
      <c r="D11" s="15" t="s">
        <v>468</v>
      </c>
      <c r="E11" s="15" t="s">
        <v>28</v>
      </c>
      <c r="F11" s="17" t="s">
        <v>482</v>
      </c>
      <c r="G11" s="15" t="s">
        <v>33</v>
      </c>
      <c r="H11" s="16" t="str">
        <f t="shared" si="0"/>
        <v>INSERT INTO TMS_TID_TKCO_TK (TK_CO_I, TK_I, DELETED, LAST_UPDATE_TM, LAST_UPDATE_USER_AN) VALUES ('AACV','AACV10','N',NOW_GMT(),'SYSTEM');</v>
      </c>
      <c r="I11" s="194" t="s">
        <v>207</v>
      </c>
      <c r="J11" s="195" t="s">
        <v>208</v>
      </c>
      <c r="K11" s="194" t="s">
        <v>75</v>
      </c>
      <c r="L11" s="195" t="s">
        <v>209</v>
      </c>
      <c r="M11" s="195" t="s">
        <v>210</v>
      </c>
      <c r="N11" s="195" t="s">
        <v>211</v>
      </c>
      <c r="O11"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'AACV10' AND  SITE_KEY = (SELECT SKEY FROM CAT_SITE WHERE CODE = 'LQN')),'SYSTEM',NOW_GMT());</v>
      </c>
    </row>
    <row r="12" spans="1:15" ht="120" x14ac:dyDescent="0.25">
      <c r="A12" s="14" t="s">
        <v>30</v>
      </c>
      <c r="B12" s="14" t="s">
        <v>31</v>
      </c>
      <c r="C12" s="15" t="s">
        <v>32</v>
      </c>
      <c r="D12" s="15" t="s">
        <v>468</v>
      </c>
      <c r="E12" s="15" t="s">
        <v>28</v>
      </c>
      <c r="F12" s="17" t="s">
        <v>483</v>
      </c>
      <c r="G12" s="15" t="s">
        <v>33</v>
      </c>
      <c r="H12" s="16" t="str">
        <f t="shared" si="0"/>
        <v>INSERT INTO TMS_TID_TKCO_TK (TK_CO_I, TK_I, DELETED, LAST_UPDATE_TM, LAST_UPDATE_USER_AN) VALUES ('AACV','AACV11','N',NOW_GMT(),'SYSTEM');</v>
      </c>
      <c r="I12" s="194" t="s">
        <v>207</v>
      </c>
      <c r="J12" s="195" t="s">
        <v>208</v>
      </c>
      <c r="K12" s="194" t="s">
        <v>75</v>
      </c>
      <c r="L12" s="195" t="s">
        <v>209</v>
      </c>
      <c r="M12" s="195" t="s">
        <v>210</v>
      </c>
      <c r="N12" s="195" t="s">
        <v>211</v>
      </c>
      <c r="O12"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'AACV11' AND  SITE_KEY = (SELECT SKEY FROM CAT_SITE WHERE CODE = 'LQN')),'SYSTEM',NOW_GMT());</v>
      </c>
    </row>
    <row r="13" spans="1:15" ht="120" x14ac:dyDescent="0.25">
      <c r="A13" s="14" t="s">
        <v>30</v>
      </c>
      <c r="B13" s="14" t="s">
        <v>31</v>
      </c>
      <c r="C13" s="15" t="s">
        <v>32</v>
      </c>
      <c r="D13" s="15" t="s">
        <v>468</v>
      </c>
      <c r="E13" s="15" t="s">
        <v>28</v>
      </c>
      <c r="F13" s="17" t="s">
        <v>484</v>
      </c>
      <c r="G13" s="15" t="s">
        <v>33</v>
      </c>
      <c r="H13" s="16" t="str">
        <f t="shared" si="0"/>
        <v>INSERT INTO TMS_TID_TKCO_TK (TK_CO_I, TK_I, DELETED, LAST_UPDATE_TM, LAST_UPDATE_USER_AN) VALUES ('AACV','AACV12','N',NOW_GMT(),'SYSTEM');</v>
      </c>
      <c r="I13" s="194" t="s">
        <v>207</v>
      </c>
      <c r="J13" s="195" t="s">
        <v>208</v>
      </c>
      <c r="K13" s="194" t="s">
        <v>75</v>
      </c>
      <c r="L13" s="195" t="s">
        <v>209</v>
      </c>
      <c r="M13" s="195" t="s">
        <v>210</v>
      </c>
      <c r="N13" s="195" t="s">
        <v>211</v>
      </c>
      <c r="O13"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'AACV12' AND  SITE_KEY = (SELECT SKEY FROM CAT_SITE WHERE CODE = 'LQN')),'SYSTEM',NOW_GMT());</v>
      </c>
    </row>
    <row r="14" spans="1:15" ht="120" x14ac:dyDescent="0.25">
      <c r="A14" s="14" t="s">
        <v>30</v>
      </c>
      <c r="B14" s="14" t="s">
        <v>31</v>
      </c>
      <c r="C14" s="15" t="s">
        <v>32</v>
      </c>
      <c r="D14" s="15" t="s">
        <v>468</v>
      </c>
      <c r="E14" s="15" t="s">
        <v>28</v>
      </c>
      <c r="F14" s="17" t="s">
        <v>485</v>
      </c>
      <c r="G14" s="15" t="s">
        <v>33</v>
      </c>
      <c r="H14" s="16" t="str">
        <f t="shared" si="0"/>
        <v>INSERT INTO TMS_TID_TKCO_TK (TK_CO_I, TK_I, DELETED, LAST_UPDATE_TM, LAST_UPDATE_USER_AN) VALUES ('AACV','AACV13','N',NOW_GMT(),'SYSTEM');</v>
      </c>
      <c r="I14" s="194" t="s">
        <v>207</v>
      </c>
      <c r="J14" s="195" t="s">
        <v>208</v>
      </c>
      <c r="K14" s="194" t="s">
        <v>75</v>
      </c>
      <c r="L14" s="195" t="s">
        <v>209</v>
      </c>
      <c r="M14" s="195" t="s">
        <v>210</v>
      </c>
      <c r="N14" s="195" t="s">
        <v>211</v>
      </c>
      <c r="O14"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'AACV13' AND  SITE_KEY = (SELECT SKEY FROM CAT_SITE WHERE CODE = 'LQN')),'SYSTEM',NOW_GMT());</v>
      </c>
    </row>
    <row r="15" spans="1:15" ht="120" x14ac:dyDescent="0.25">
      <c r="A15" s="14" t="s">
        <v>30</v>
      </c>
      <c r="B15" s="14" t="s">
        <v>31</v>
      </c>
      <c r="C15" s="15" t="s">
        <v>32</v>
      </c>
      <c r="D15" s="15" t="s">
        <v>468</v>
      </c>
      <c r="E15" s="15" t="s">
        <v>28</v>
      </c>
      <c r="F15" s="17" t="s">
        <v>486</v>
      </c>
      <c r="G15" s="15" t="s">
        <v>33</v>
      </c>
      <c r="H15" s="16" t="str">
        <f t="shared" si="0"/>
        <v>INSERT INTO TMS_TID_TKCO_TK (TK_CO_I, TK_I, DELETED, LAST_UPDATE_TM, LAST_UPDATE_USER_AN) VALUES ('AACV','AACV14','N',NOW_GMT(),'SYSTEM');</v>
      </c>
      <c r="I15" s="194" t="s">
        <v>207</v>
      </c>
      <c r="J15" s="195" t="s">
        <v>208</v>
      </c>
      <c r="K15" s="194" t="s">
        <v>75</v>
      </c>
      <c r="L15" s="195" t="s">
        <v>209</v>
      </c>
      <c r="M15" s="195" t="s">
        <v>210</v>
      </c>
      <c r="N15" s="195" t="s">
        <v>211</v>
      </c>
      <c r="O15"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'AACV14' AND  SITE_KEY = (SELECT SKEY FROM CAT_SITE WHERE CODE = 'LQN')),'SYSTEM',NOW_GMT());</v>
      </c>
    </row>
    <row r="16" spans="1:15" ht="120" x14ac:dyDescent="0.25">
      <c r="A16" s="14" t="s">
        <v>30</v>
      </c>
      <c r="B16" s="14" t="s">
        <v>31</v>
      </c>
      <c r="C16" s="15" t="s">
        <v>32</v>
      </c>
      <c r="D16" s="15" t="s">
        <v>468</v>
      </c>
      <c r="E16" s="15" t="s">
        <v>28</v>
      </c>
      <c r="F16" s="17" t="s">
        <v>487</v>
      </c>
      <c r="G16" s="15" t="s">
        <v>33</v>
      </c>
      <c r="H16" s="16" t="str">
        <f t="shared" si="0"/>
        <v>INSERT INTO TMS_TID_TKCO_TK (TK_CO_I, TK_I, DELETED, LAST_UPDATE_TM, LAST_UPDATE_USER_AN) VALUES ('AACV','AACV15','N',NOW_GMT(),'SYSTEM');</v>
      </c>
      <c r="I16" s="194" t="s">
        <v>207</v>
      </c>
      <c r="J16" s="195" t="s">
        <v>208</v>
      </c>
      <c r="K16" s="194" t="s">
        <v>75</v>
      </c>
      <c r="L16" s="195" t="s">
        <v>209</v>
      </c>
      <c r="M16" s="195" t="s">
        <v>210</v>
      </c>
      <c r="N16" s="195" t="s">
        <v>211</v>
      </c>
      <c r="O16"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'AACV15' AND  SITE_KEY = (SELECT SKEY FROM CAT_SITE WHERE CODE = 'LQN')),'SYSTEM',NOW_GMT());</v>
      </c>
    </row>
    <row r="17" spans="1:15" ht="120" x14ac:dyDescent="0.25">
      <c r="A17" s="14" t="s">
        <v>30</v>
      </c>
      <c r="B17" s="14" t="s">
        <v>31</v>
      </c>
      <c r="C17" s="15" t="s">
        <v>32</v>
      </c>
      <c r="D17" s="15" t="s">
        <v>468</v>
      </c>
      <c r="E17" s="15" t="s">
        <v>28</v>
      </c>
      <c r="F17" s="17" t="s">
        <v>488</v>
      </c>
      <c r="G17" s="15" t="s">
        <v>33</v>
      </c>
      <c r="H17" s="16" t="str">
        <f t="shared" si="0"/>
        <v>INSERT INTO TMS_TID_TKCO_TK (TK_CO_I, TK_I, DELETED, LAST_UPDATE_TM, LAST_UPDATE_USER_AN) VALUES ('AACV','AACV16','N',NOW_GMT(),'SYSTEM');</v>
      </c>
      <c r="I17" s="194" t="s">
        <v>207</v>
      </c>
      <c r="J17" s="195" t="s">
        <v>208</v>
      </c>
      <c r="K17" s="194" t="s">
        <v>75</v>
      </c>
      <c r="L17" s="195" t="s">
        <v>209</v>
      </c>
      <c r="M17" s="195" t="s">
        <v>210</v>
      </c>
      <c r="N17" s="195" t="s">
        <v>211</v>
      </c>
      <c r="O17"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'AACV16' AND  SITE_KEY = (SELECT SKEY FROM CAT_SITE WHERE CODE = 'LQN')),'SYSTEM',NOW_GMT());</v>
      </c>
    </row>
    <row r="18" spans="1:15" ht="120" x14ac:dyDescent="0.25">
      <c r="A18" s="14" t="s">
        <v>30</v>
      </c>
      <c r="B18" s="14" t="s">
        <v>31</v>
      </c>
      <c r="C18" s="15" t="s">
        <v>32</v>
      </c>
      <c r="D18" s="15" t="s">
        <v>468</v>
      </c>
      <c r="E18" s="15" t="s">
        <v>28</v>
      </c>
      <c r="F18" s="17" t="s">
        <v>489</v>
      </c>
      <c r="G18" s="15" t="s">
        <v>33</v>
      </c>
      <c r="H18" s="16" t="str">
        <f t="shared" si="0"/>
        <v>INSERT INTO TMS_TID_TKCO_TK (TK_CO_I, TK_I, DELETED, LAST_UPDATE_TM, LAST_UPDATE_USER_AN) VALUES ('AACV','AACV17','N',NOW_GMT(),'SYSTEM');</v>
      </c>
      <c r="I18" s="194" t="s">
        <v>207</v>
      </c>
      <c r="J18" s="195" t="s">
        <v>208</v>
      </c>
      <c r="K18" s="194" t="s">
        <v>75</v>
      </c>
      <c r="L18" s="195" t="s">
        <v>209</v>
      </c>
      <c r="M18" s="195" t="s">
        <v>210</v>
      </c>
      <c r="N18" s="195" t="s">
        <v>211</v>
      </c>
      <c r="O18"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'AACV17' AND  SITE_KEY = (SELECT SKEY FROM CAT_SITE WHERE CODE = 'LQN')),'SYSTEM',NOW_GMT());</v>
      </c>
    </row>
    <row r="19" spans="1:15" ht="120" x14ac:dyDescent="0.25">
      <c r="A19" s="14" t="s">
        <v>30</v>
      </c>
      <c r="B19" s="14" t="s">
        <v>31</v>
      </c>
      <c r="C19" s="15" t="s">
        <v>32</v>
      </c>
      <c r="D19" s="15" t="s">
        <v>468</v>
      </c>
      <c r="E19" s="15" t="s">
        <v>28</v>
      </c>
      <c r="F19" s="17" t="s">
        <v>490</v>
      </c>
      <c r="G19" s="15" t="s">
        <v>33</v>
      </c>
      <c r="H19" s="16" t="str">
        <f t="shared" si="0"/>
        <v>INSERT INTO TMS_TID_TKCO_TK (TK_CO_I, TK_I, DELETED, LAST_UPDATE_TM, LAST_UPDATE_USER_AN) VALUES ('AACV','AACV18','N',NOW_GMT(),'SYSTEM');</v>
      </c>
      <c r="I19" s="194" t="s">
        <v>207</v>
      </c>
      <c r="J19" s="195" t="s">
        <v>208</v>
      </c>
      <c r="K19" s="194" t="s">
        <v>75</v>
      </c>
      <c r="L19" s="195" t="s">
        <v>209</v>
      </c>
      <c r="M19" s="195" t="s">
        <v>210</v>
      </c>
      <c r="N19" s="195" t="s">
        <v>211</v>
      </c>
      <c r="O19"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'AACV18' AND  SITE_KEY = (SELECT SKEY FROM CAT_SITE WHERE CODE = 'LQN')),'SYSTEM',NOW_GMT());</v>
      </c>
    </row>
    <row r="20" spans="1:15" ht="120" x14ac:dyDescent="0.25">
      <c r="A20" s="14" t="s">
        <v>30</v>
      </c>
      <c r="B20" s="14" t="s">
        <v>31</v>
      </c>
      <c r="C20" s="15" t="s">
        <v>32</v>
      </c>
      <c r="D20" s="15" t="s">
        <v>468</v>
      </c>
      <c r="E20" s="15" t="s">
        <v>28</v>
      </c>
      <c r="F20" s="17" t="s">
        <v>491</v>
      </c>
      <c r="G20" s="15" t="s">
        <v>33</v>
      </c>
      <c r="H20" s="16" t="str">
        <f t="shared" si="0"/>
        <v>INSERT INTO TMS_TID_TKCO_TK (TK_CO_I, TK_I, DELETED, LAST_UPDATE_TM, LAST_UPDATE_USER_AN) VALUES ('AACV','AACV19','N',NOW_GMT(),'SYSTEM');</v>
      </c>
      <c r="I20" s="194" t="s">
        <v>207</v>
      </c>
      <c r="J20" s="195" t="s">
        <v>208</v>
      </c>
      <c r="K20" s="194" t="s">
        <v>75</v>
      </c>
      <c r="L20" s="195" t="s">
        <v>209</v>
      </c>
      <c r="M20" s="195" t="s">
        <v>210</v>
      </c>
      <c r="N20" s="195" t="s">
        <v>211</v>
      </c>
      <c r="O20"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'AACV19' AND  SITE_KEY = (SELECT SKEY FROM CAT_SITE WHERE CODE = 'LQN')),'SYSTEM',NOW_GMT());</v>
      </c>
    </row>
    <row r="21" spans="1:15" ht="120" x14ac:dyDescent="0.25">
      <c r="A21" s="14" t="s">
        <v>30</v>
      </c>
      <c r="B21" s="14" t="s">
        <v>31</v>
      </c>
      <c r="C21" s="15" t="s">
        <v>32</v>
      </c>
      <c r="D21" s="15" t="s">
        <v>468</v>
      </c>
      <c r="E21" s="15" t="s">
        <v>28</v>
      </c>
      <c r="F21" s="17" t="s">
        <v>492</v>
      </c>
      <c r="G21" s="15" t="s">
        <v>33</v>
      </c>
      <c r="H21" s="16" t="str">
        <f t="shared" si="0"/>
        <v>INSERT INTO TMS_TID_TKCO_TK (TK_CO_I, TK_I, DELETED, LAST_UPDATE_TM, LAST_UPDATE_USER_AN) VALUES ('AACV','AACV20','N',NOW_GMT(),'SYSTEM');</v>
      </c>
      <c r="I21" s="194" t="s">
        <v>207</v>
      </c>
      <c r="J21" s="195" t="s">
        <v>208</v>
      </c>
      <c r="K21" s="194" t="s">
        <v>75</v>
      </c>
      <c r="L21" s="195" t="s">
        <v>209</v>
      </c>
      <c r="M21" s="195" t="s">
        <v>210</v>
      </c>
      <c r="N21" s="195" t="s">
        <v>211</v>
      </c>
      <c r="O21" s="194" t="str">
        <f t="shared" si="1"/>
        <v>INSERT INTO TOS_TRUCK_COMPANY_TRACTOR(SKEY,TRUCK_COMPANY_KEY,TRACTOR_KEY,CREATE_BY,CREATE_TIME) values (NEXTVAL('ZARA_SEQUENCE'),(SELECT SKEY FROM TOS_TRUCK_COMPANY WHERE BIZ_UNIT_KEY = (SELECT SKEY FROM CAT_BIZ_UNIT WHERE BIZ_TYPE_CODE = 'TRUCKING_COMPANY' AND CODE = 'AACV' AND  SITE_KEY = (SELECT SKEY FROM CAT_SITE WHERE CODE = 'LQN'))),(SELECT SKEY FROM TOS_TRACTOR WHERE TRACTOR_ID = 'AACV20' AND  SITE_KEY = (SELECT SKEY FROM CAT_SITE WHERE CODE = 'LQN')),'SYSTEM',NOW_GMT());</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1"/>
  <sheetViews>
    <sheetView zoomScale="70" zoomScaleNormal="70" workbookViewId="0">
      <selection activeCell="M3" sqref="M3"/>
    </sheetView>
  </sheetViews>
  <sheetFormatPr defaultRowHeight="15" x14ac:dyDescent="0.25"/>
  <cols>
    <col min="1" max="1" width="59.140625" style="10" customWidth="1"/>
    <col min="2" max="2" width="13.85546875" style="10" customWidth="1"/>
    <col min="3" max="3" width="3.5703125" style="10" customWidth="1"/>
    <col min="4" max="4" width="13.85546875" style="10" customWidth="1"/>
    <col min="5" max="5" width="3.5703125" style="10" customWidth="1"/>
    <col min="6" max="6" width="13.85546875" style="10" customWidth="1"/>
    <col min="7" max="7" width="24.85546875" style="10" customWidth="1"/>
    <col min="8" max="8" width="74.7109375" style="10" customWidth="1"/>
    <col min="9" max="9" width="62" style="10" customWidth="1"/>
    <col min="10" max="12" width="21.140625" style="10" customWidth="1"/>
    <col min="13" max="13" width="61.5703125" style="10" customWidth="1"/>
    <col min="14" max="16384" width="9.140625" style="10"/>
  </cols>
  <sheetData>
    <row r="1" spans="1:16" ht="37.5" x14ac:dyDescent="0.3">
      <c r="A1" s="19"/>
      <c r="B1" s="7" t="s">
        <v>19</v>
      </c>
      <c r="C1" s="6"/>
      <c r="D1" s="6" t="s">
        <v>22</v>
      </c>
      <c r="E1" s="6"/>
      <c r="F1" s="6" t="s">
        <v>23</v>
      </c>
      <c r="G1" s="5"/>
      <c r="H1" s="6" t="s">
        <v>525</v>
      </c>
      <c r="I1" s="6"/>
      <c r="J1" s="6"/>
      <c r="K1" s="6"/>
      <c r="L1" s="196"/>
      <c r="M1" s="6" t="s">
        <v>194</v>
      </c>
      <c r="N1" s="20"/>
      <c r="O1" s="20"/>
      <c r="P1" s="20"/>
    </row>
    <row r="2" spans="1:16" ht="123" customHeight="1" x14ac:dyDescent="0.25">
      <c r="A2" s="10" t="s">
        <v>34</v>
      </c>
      <c r="B2" s="21" t="s">
        <v>468</v>
      </c>
      <c r="C2" s="11" t="s">
        <v>28</v>
      </c>
      <c r="D2" s="21" t="s">
        <v>473</v>
      </c>
      <c r="E2" s="11" t="s">
        <v>28</v>
      </c>
      <c r="F2" s="21" t="s">
        <v>473</v>
      </c>
      <c r="G2" s="11" t="s">
        <v>35</v>
      </c>
      <c r="H2" s="10" t="str">
        <f>CONCATENATE(A2,B2,C2,D2,E2,F2,G2)</f>
        <v>INSERT INTO TMS_TID_DRVR (TK_CO_I, ID_CARD_I, DRVR_N, LST_UPDT_D, PARTNER_TX_D, DELETED, LAST_UPDATE_USER_AN) VALUES ('AACV','AACV1','AACV1',NOW_GMT(), NOW_GMT(), 'N', 'SYSTEM');</v>
      </c>
      <c r="I2" s="10" t="s">
        <v>212</v>
      </c>
      <c r="J2" s="11" t="s">
        <v>206</v>
      </c>
      <c r="K2" s="11" t="s">
        <v>75</v>
      </c>
      <c r="L2" s="11" t="s">
        <v>213</v>
      </c>
      <c r="M2" s="194" t="str">
        <f>CONCATENATE(I2,D2,E2,F2,J2,K2,L2)</f>
        <v>INSERT INTO TOS_DRIVER( DRIVER_ID,NAME,SKEY,SITE_KEY,CREATE_BY,CREATE_TIME) values ('AACV1','AACV1',NEXTVAL('ZARA_SEQUENCE'),(SELECT SKEY FROM CAT_SITE WHERE CODE = 'LQN'),'SYSTEM',NOW_GMT());</v>
      </c>
    </row>
    <row r="3" spans="1:16" ht="152.25" customHeight="1" x14ac:dyDescent="0.25">
      <c r="A3" s="10" t="s">
        <v>34</v>
      </c>
      <c r="B3" s="21" t="s">
        <v>468</v>
      </c>
      <c r="C3" s="11" t="s">
        <v>28</v>
      </c>
      <c r="D3" s="10" t="s">
        <v>474</v>
      </c>
      <c r="E3" s="11" t="s">
        <v>28</v>
      </c>
      <c r="F3" s="10" t="s">
        <v>474</v>
      </c>
      <c r="G3" s="11" t="s">
        <v>35</v>
      </c>
      <c r="H3" s="10" t="str">
        <f t="shared" ref="H3:H21" si="0">CONCATENATE(A3,B3,C3,D3,E3,F3,G3)</f>
        <v>INSERT INTO TMS_TID_DRVR (TK_CO_I, ID_CARD_I, DRVR_N, LST_UPDT_D, PARTNER_TX_D, DELETED, LAST_UPDATE_USER_AN) VALUES ('AACV','AACV2','AACV2',NOW_GMT(), NOW_GMT(), 'N', 'SYSTEM');</v>
      </c>
      <c r="I3" s="10" t="s">
        <v>212</v>
      </c>
      <c r="J3" s="11" t="s">
        <v>206</v>
      </c>
      <c r="K3" s="11" t="s">
        <v>75</v>
      </c>
      <c r="L3" s="11" t="s">
        <v>213</v>
      </c>
      <c r="M3" s="194" t="str">
        <f t="shared" ref="M3:M21" si="1">CONCATENATE(I3,D3,E3,F3,J3,K3,L3)</f>
        <v>INSERT INTO TOS_DRIVER( DRIVER_ID,NAME,SKEY,SITE_KEY,CREATE_BY,CREATE_TIME) values ('AACV2','AACV2',NEXTVAL('ZARA_SEQUENCE'),(SELECT SKEY FROM CAT_SITE WHERE CODE = 'LQN'),'SYSTEM',NOW_GMT());</v>
      </c>
    </row>
    <row r="4" spans="1:16" ht="60" x14ac:dyDescent="0.25">
      <c r="A4" s="10" t="s">
        <v>34</v>
      </c>
      <c r="B4" s="21" t="s">
        <v>468</v>
      </c>
      <c r="C4" s="11" t="s">
        <v>28</v>
      </c>
      <c r="D4" s="10" t="s">
        <v>475</v>
      </c>
      <c r="E4" s="11" t="s">
        <v>28</v>
      </c>
      <c r="F4" s="10" t="s">
        <v>475</v>
      </c>
      <c r="G4" s="11" t="s">
        <v>35</v>
      </c>
      <c r="H4" s="10" t="str">
        <f t="shared" si="0"/>
        <v>INSERT INTO TMS_TID_DRVR (TK_CO_I, ID_CARD_I, DRVR_N, LST_UPDT_D, PARTNER_TX_D, DELETED, LAST_UPDATE_USER_AN) VALUES ('AACV','AACV3','AACV3',NOW_GMT(), NOW_GMT(), 'N', 'SYSTEM');</v>
      </c>
      <c r="I4" s="10" t="s">
        <v>212</v>
      </c>
      <c r="J4" s="11" t="s">
        <v>206</v>
      </c>
      <c r="K4" s="11" t="s">
        <v>75</v>
      </c>
      <c r="L4" s="11" t="s">
        <v>213</v>
      </c>
      <c r="M4" s="194" t="str">
        <f t="shared" si="1"/>
        <v>INSERT INTO TOS_DRIVER( DRIVER_ID,NAME,SKEY,SITE_KEY,CREATE_BY,CREATE_TIME) values ('AACV3','AACV3',NEXTVAL('ZARA_SEQUENCE'),(SELECT SKEY FROM CAT_SITE WHERE CODE = 'LQN'),'SYSTEM',NOW_GMT());</v>
      </c>
    </row>
    <row r="5" spans="1:16" ht="60" x14ac:dyDescent="0.25">
      <c r="A5" s="10" t="s">
        <v>34</v>
      </c>
      <c r="B5" s="21" t="s">
        <v>468</v>
      </c>
      <c r="C5" s="11" t="s">
        <v>28</v>
      </c>
      <c r="D5" s="10" t="s">
        <v>476</v>
      </c>
      <c r="E5" s="11" t="s">
        <v>28</v>
      </c>
      <c r="F5" s="10" t="s">
        <v>476</v>
      </c>
      <c r="G5" s="11" t="s">
        <v>35</v>
      </c>
      <c r="H5" s="10" t="str">
        <f t="shared" si="0"/>
        <v>INSERT INTO TMS_TID_DRVR (TK_CO_I, ID_CARD_I, DRVR_N, LST_UPDT_D, PARTNER_TX_D, DELETED, LAST_UPDATE_USER_AN) VALUES ('AACV','AACV4','AACV4',NOW_GMT(), NOW_GMT(), 'N', 'SYSTEM');</v>
      </c>
      <c r="I5" s="10" t="s">
        <v>212</v>
      </c>
      <c r="J5" s="11" t="s">
        <v>206</v>
      </c>
      <c r="K5" s="11" t="s">
        <v>75</v>
      </c>
      <c r="L5" s="11" t="s">
        <v>213</v>
      </c>
      <c r="M5" s="194" t="str">
        <f t="shared" si="1"/>
        <v>INSERT INTO TOS_DRIVER( DRIVER_ID,NAME,SKEY,SITE_KEY,CREATE_BY,CREATE_TIME) values ('AACV4','AACV4',NEXTVAL('ZARA_SEQUENCE'),(SELECT SKEY FROM CAT_SITE WHERE CODE = 'LQN'),'SYSTEM',NOW_GMT());</v>
      </c>
    </row>
    <row r="6" spans="1:16" ht="60" x14ac:dyDescent="0.25">
      <c r="A6" s="10" t="s">
        <v>34</v>
      </c>
      <c r="B6" s="21" t="s">
        <v>468</v>
      </c>
      <c r="C6" s="11" t="s">
        <v>28</v>
      </c>
      <c r="D6" s="10" t="s">
        <v>477</v>
      </c>
      <c r="E6" s="11" t="s">
        <v>28</v>
      </c>
      <c r="F6" s="10" t="s">
        <v>477</v>
      </c>
      <c r="G6" s="11" t="s">
        <v>35</v>
      </c>
      <c r="H6" s="10" t="str">
        <f t="shared" si="0"/>
        <v>INSERT INTO TMS_TID_DRVR (TK_CO_I, ID_CARD_I, DRVR_N, LST_UPDT_D, PARTNER_TX_D, DELETED, LAST_UPDATE_USER_AN) VALUES ('AACV','AACV5','AACV5',NOW_GMT(), NOW_GMT(), 'N', 'SYSTEM');</v>
      </c>
      <c r="I6" s="10" t="s">
        <v>212</v>
      </c>
      <c r="J6" s="11" t="s">
        <v>206</v>
      </c>
      <c r="K6" s="11" t="s">
        <v>75</v>
      </c>
      <c r="L6" s="11" t="s">
        <v>213</v>
      </c>
      <c r="M6" s="194" t="str">
        <f t="shared" si="1"/>
        <v>INSERT INTO TOS_DRIVER( DRIVER_ID,NAME,SKEY,SITE_KEY,CREATE_BY,CREATE_TIME) values ('AACV5','AACV5',NEXTVAL('ZARA_SEQUENCE'),(SELECT SKEY FROM CAT_SITE WHERE CODE = 'LQN'),'SYSTEM',NOW_GMT());</v>
      </c>
    </row>
    <row r="7" spans="1:16" ht="60" x14ac:dyDescent="0.25">
      <c r="A7" s="10" t="s">
        <v>34</v>
      </c>
      <c r="B7" s="21" t="s">
        <v>468</v>
      </c>
      <c r="C7" s="11" t="s">
        <v>28</v>
      </c>
      <c r="D7" s="10" t="s">
        <v>478</v>
      </c>
      <c r="E7" s="11" t="s">
        <v>28</v>
      </c>
      <c r="F7" s="10" t="s">
        <v>478</v>
      </c>
      <c r="G7" s="11" t="s">
        <v>35</v>
      </c>
      <c r="H7" s="10" t="str">
        <f t="shared" si="0"/>
        <v>INSERT INTO TMS_TID_DRVR (TK_CO_I, ID_CARD_I, DRVR_N, LST_UPDT_D, PARTNER_TX_D, DELETED, LAST_UPDATE_USER_AN) VALUES ('AACV','AACV6','AACV6',NOW_GMT(), NOW_GMT(), 'N', 'SYSTEM');</v>
      </c>
      <c r="I7" s="10" t="s">
        <v>212</v>
      </c>
      <c r="J7" s="11" t="s">
        <v>206</v>
      </c>
      <c r="K7" s="11" t="s">
        <v>75</v>
      </c>
      <c r="L7" s="11" t="s">
        <v>213</v>
      </c>
      <c r="M7" s="194" t="str">
        <f t="shared" si="1"/>
        <v>INSERT INTO TOS_DRIVER( DRIVER_ID,NAME,SKEY,SITE_KEY,CREATE_BY,CREATE_TIME) values ('AACV6','AACV6',NEXTVAL('ZARA_SEQUENCE'),(SELECT SKEY FROM CAT_SITE WHERE CODE = 'LQN'),'SYSTEM',NOW_GMT());</v>
      </c>
    </row>
    <row r="8" spans="1:16" ht="60" x14ac:dyDescent="0.25">
      <c r="A8" s="10" t="s">
        <v>34</v>
      </c>
      <c r="B8" s="21" t="s">
        <v>468</v>
      </c>
      <c r="C8" s="11" t="s">
        <v>28</v>
      </c>
      <c r="D8" s="10" t="s">
        <v>479</v>
      </c>
      <c r="E8" s="11" t="s">
        <v>28</v>
      </c>
      <c r="F8" s="10" t="s">
        <v>479</v>
      </c>
      <c r="G8" s="11" t="s">
        <v>35</v>
      </c>
      <c r="H8" s="10" t="str">
        <f t="shared" si="0"/>
        <v>INSERT INTO TMS_TID_DRVR (TK_CO_I, ID_CARD_I, DRVR_N, LST_UPDT_D, PARTNER_TX_D, DELETED, LAST_UPDATE_USER_AN) VALUES ('AACV','AACV7','AACV7',NOW_GMT(), NOW_GMT(), 'N', 'SYSTEM');</v>
      </c>
      <c r="I8" s="10" t="s">
        <v>212</v>
      </c>
      <c r="J8" s="11" t="s">
        <v>206</v>
      </c>
      <c r="K8" s="11" t="s">
        <v>75</v>
      </c>
      <c r="L8" s="11" t="s">
        <v>213</v>
      </c>
      <c r="M8" s="194" t="str">
        <f t="shared" si="1"/>
        <v>INSERT INTO TOS_DRIVER( DRIVER_ID,NAME,SKEY,SITE_KEY,CREATE_BY,CREATE_TIME) values ('AACV7','AACV7',NEXTVAL('ZARA_SEQUENCE'),(SELECT SKEY FROM CAT_SITE WHERE CODE = 'LQN'),'SYSTEM',NOW_GMT());</v>
      </c>
    </row>
    <row r="9" spans="1:16" ht="60" x14ac:dyDescent="0.25">
      <c r="A9" s="10" t="s">
        <v>34</v>
      </c>
      <c r="B9" s="21" t="s">
        <v>468</v>
      </c>
      <c r="C9" s="11" t="s">
        <v>28</v>
      </c>
      <c r="D9" s="10" t="s">
        <v>480</v>
      </c>
      <c r="E9" s="11" t="s">
        <v>28</v>
      </c>
      <c r="F9" s="10" t="s">
        <v>480</v>
      </c>
      <c r="G9" s="11" t="s">
        <v>35</v>
      </c>
      <c r="H9" s="10" t="str">
        <f t="shared" si="0"/>
        <v>INSERT INTO TMS_TID_DRVR (TK_CO_I, ID_CARD_I, DRVR_N, LST_UPDT_D, PARTNER_TX_D, DELETED, LAST_UPDATE_USER_AN) VALUES ('AACV','AACV8','AACV8',NOW_GMT(), NOW_GMT(), 'N', 'SYSTEM');</v>
      </c>
      <c r="I9" s="10" t="s">
        <v>212</v>
      </c>
      <c r="J9" s="11" t="s">
        <v>206</v>
      </c>
      <c r="K9" s="11" t="s">
        <v>75</v>
      </c>
      <c r="L9" s="11" t="s">
        <v>213</v>
      </c>
      <c r="M9" s="194" t="str">
        <f t="shared" si="1"/>
        <v>INSERT INTO TOS_DRIVER( DRIVER_ID,NAME,SKEY,SITE_KEY,CREATE_BY,CREATE_TIME) values ('AACV8','AACV8',NEXTVAL('ZARA_SEQUENCE'),(SELECT SKEY FROM CAT_SITE WHERE CODE = 'LQN'),'SYSTEM',NOW_GMT());</v>
      </c>
    </row>
    <row r="10" spans="1:16" ht="60" x14ac:dyDescent="0.25">
      <c r="A10" s="10" t="s">
        <v>34</v>
      </c>
      <c r="B10" s="21" t="s">
        <v>468</v>
      </c>
      <c r="C10" s="11" t="s">
        <v>28</v>
      </c>
      <c r="D10" s="10" t="s">
        <v>481</v>
      </c>
      <c r="E10" s="11" t="s">
        <v>28</v>
      </c>
      <c r="F10" s="10" t="s">
        <v>481</v>
      </c>
      <c r="G10" s="11" t="s">
        <v>35</v>
      </c>
      <c r="H10" s="10" t="str">
        <f t="shared" si="0"/>
        <v>INSERT INTO TMS_TID_DRVR (TK_CO_I, ID_CARD_I, DRVR_N, LST_UPDT_D, PARTNER_TX_D, DELETED, LAST_UPDATE_USER_AN) VALUES ('AACV','AACV9','AACV9',NOW_GMT(), NOW_GMT(), 'N', 'SYSTEM');</v>
      </c>
      <c r="I10" s="10" t="s">
        <v>212</v>
      </c>
      <c r="J10" s="11" t="s">
        <v>206</v>
      </c>
      <c r="K10" s="11" t="s">
        <v>75</v>
      </c>
      <c r="L10" s="11" t="s">
        <v>213</v>
      </c>
      <c r="M10" s="194" t="str">
        <f t="shared" si="1"/>
        <v>INSERT INTO TOS_DRIVER( DRIVER_ID,NAME,SKEY,SITE_KEY,CREATE_BY,CREATE_TIME) values ('AACV9','AACV9',NEXTVAL('ZARA_SEQUENCE'),(SELECT SKEY FROM CAT_SITE WHERE CODE = 'LQN'),'SYSTEM',NOW_GMT());</v>
      </c>
    </row>
    <row r="11" spans="1:16" ht="60" x14ac:dyDescent="0.25">
      <c r="A11" s="10" t="s">
        <v>34</v>
      </c>
      <c r="B11" s="21" t="s">
        <v>468</v>
      </c>
      <c r="C11" s="11" t="s">
        <v>28</v>
      </c>
      <c r="D11" s="10" t="s">
        <v>482</v>
      </c>
      <c r="E11" s="11" t="s">
        <v>28</v>
      </c>
      <c r="F11" s="10" t="s">
        <v>482</v>
      </c>
      <c r="G11" s="11" t="s">
        <v>35</v>
      </c>
      <c r="H11" s="10" t="str">
        <f t="shared" si="0"/>
        <v>INSERT INTO TMS_TID_DRVR (TK_CO_I, ID_CARD_I, DRVR_N, LST_UPDT_D, PARTNER_TX_D, DELETED, LAST_UPDATE_USER_AN) VALUES ('AACV','AACV10','AACV10',NOW_GMT(), NOW_GMT(), 'N', 'SYSTEM');</v>
      </c>
      <c r="I11" s="10" t="s">
        <v>212</v>
      </c>
      <c r="J11" s="11" t="s">
        <v>206</v>
      </c>
      <c r="K11" s="11" t="s">
        <v>75</v>
      </c>
      <c r="L11" s="11" t="s">
        <v>213</v>
      </c>
      <c r="M11" s="194" t="str">
        <f t="shared" si="1"/>
        <v>INSERT INTO TOS_DRIVER( DRIVER_ID,NAME,SKEY,SITE_KEY,CREATE_BY,CREATE_TIME) values ('AACV10','AACV10',NEXTVAL('ZARA_SEQUENCE'),(SELECT SKEY FROM CAT_SITE WHERE CODE = 'LQN'),'SYSTEM',NOW_GMT());</v>
      </c>
    </row>
    <row r="12" spans="1:16" ht="60" x14ac:dyDescent="0.25">
      <c r="A12" s="10" t="s">
        <v>34</v>
      </c>
      <c r="B12" s="21" t="s">
        <v>468</v>
      </c>
      <c r="C12" s="11" t="s">
        <v>28</v>
      </c>
      <c r="D12" s="10" t="s">
        <v>483</v>
      </c>
      <c r="E12" s="11" t="s">
        <v>28</v>
      </c>
      <c r="F12" s="10" t="s">
        <v>483</v>
      </c>
      <c r="G12" s="11" t="s">
        <v>35</v>
      </c>
      <c r="H12" s="10" t="str">
        <f t="shared" si="0"/>
        <v>INSERT INTO TMS_TID_DRVR (TK_CO_I, ID_CARD_I, DRVR_N, LST_UPDT_D, PARTNER_TX_D, DELETED, LAST_UPDATE_USER_AN) VALUES ('AACV','AACV11','AACV11',NOW_GMT(), NOW_GMT(), 'N', 'SYSTEM');</v>
      </c>
      <c r="I12" s="10" t="s">
        <v>212</v>
      </c>
      <c r="J12" s="11" t="s">
        <v>206</v>
      </c>
      <c r="K12" s="11" t="s">
        <v>75</v>
      </c>
      <c r="L12" s="11" t="s">
        <v>213</v>
      </c>
      <c r="M12" s="194" t="str">
        <f t="shared" si="1"/>
        <v>INSERT INTO TOS_DRIVER( DRIVER_ID,NAME,SKEY,SITE_KEY,CREATE_BY,CREATE_TIME) values ('AACV11','AACV11',NEXTVAL('ZARA_SEQUENCE'),(SELECT SKEY FROM CAT_SITE WHERE CODE = 'LQN'),'SYSTEM',NOW_GMT());</v>
      </c>
    </row>
    <row r="13" spans="1:16" ht="60" x14ac:dyDescent="0.25">
      <c r="A13" s="10" t="s">
        <v>34</v>
      </c>
      <c r="B13" s="21" t="s">
        <v>468</v>
      </c>
      <c r="C13" s="11" t="s">
        <v>28</v>
      </c>
      <c r="D13" s="10" t="s">
        <v>484</v>
      </c>
      <c r="E13" s="11" t="s">
        <v>28</v>
      </c>
      <c r="F13" s="10" t="s">
        <v>484</v>
      </c>
      <c r="G13" s="11" t="s">
        <v>35</v>
      </c>
      <c r="H13" s="10" t="str">
        <f t="shared" si="0"/>
        <v>INSERT INTO TMS_TID_DRVR (TK_CO_I, ID_CARD_I, DRVR_N, LST_UPDT_D, PARTNER_TX_D, DELETED, LAST_UPDATE_USER_AN) VALUES ('AACV','AACV12','AACV12',NOW_GMT(), NOW_GMT(), 'N', 'SYSTEM');</v>
      </c>
      <c r="I13" s="10" t="s">
        <v>212</v>
      </c>
      <c r="J13" s="11" t="s">
        <v>206</v>
      </c>
      <c r="K13" s="11" t="s">
        <v>75</v>
      </c>
      <c r="L13" s="11" t="s">
        <v>213</v>
      </c>
      <c r="M13" s="194" t="str">
        <f t="shared" si="1"/>
        <v>INSERT INTO TOS_DRIVER( DRIVER_ID,NAME,SKEY,SITE_KEY,CREATE_BY,CREATE_TIME) values ('AACV12','AACV12',NEXTVAL('ZARA_SEQUENCE'),(SELECT SKEY FROM CAT_SITE WHERE CODE = 'LQN'),'SYSTEM',NOW_GMT());</v>
      </c>
    </row>
    <row r="14" spans="1:16" ht="60" x14ac:dyDescent="0.25">
      <c r="A14" s="10" t="s">
        <v>34</v>
      </c>
      <c r="B14" s="21" t="s">
        <v>468</v>
      </c>
      <c r="C14" s="11" t="s">
        <v>28</v>
      </c>
      <c r="D14" s="10" t="s">
        <v>485</v>
      </c>
      <c r="E14" s="11" t="s">
        <v>28</v>
      </c>
      <c r="F14" s="10" t="s">
        <v>485</v>
      </c>
      <c r="G14" s="11" t="s">
        <v>35</v>
      </c>
      <c r="H14" s="10" t="str">
        <f t="shared" si="0"/>
        <v>INSERT INTO TMS_TID_DRVR (TK_CO_I, ID_CARD_I, DRVR_N, LST_UPDT_D, PARTNER_TX_D, DELETED, LAST_UPDATE_USER_AN) VALUES ('AACV','AACV13','AACV13',NOW_GMT(), NOW_GMT(), 'N', 'SYSTEM');</v>
      </c>
      <c r="I14" s="10" t="s">
        <v>212</v>
      </c>
      <c r="J14" s="11" t="s">
        <v>206</v>
      </c>
      <c r="K14" s="11" t="s">
        <v>75</v>
      </c>
      <c r="L14" s="11" t="s">
        <v>213</v>
      </c>
      <c r="M14" s="194" t="str">
        <f t="shared" si="1"/>
        <v>INSERT INTO TOS_DRIVER( DRIVER_ID,NAME,SKEY,SITE_KEY,CREATE_BY,CREATE_TIME) values ('AACV13','AACV13',NEXTVAL('ZARA_SEQUENCE'),(SELECT SKEY FROM CAT_SITE WHERE CODE = 'LQN'),'SYSTEM',NOW_GMT());</v>
      </c>
    </row>
    <row r="15" spans="1:16" ht="60" x14ac:dyDescent="0.25">
      <c r="A15" s="10" t="s">
        <v>34</v>
      </c>
      <c r="B15" s="21" t="s">
        <v>468</v>
      </c>
      <c r="C15" s="11" t="s">
        <v>28</v>
      </c>
      <c r="D15" s="10" t="s">
        <v>486</v>
      </c>
      <c r="E15" s="11" t="s">
        <v>28</v>
      </c>
      <c r="F15" s="10" t="s">
        <v>486</v>
      </c>
      <c r="G15" s="11" t="s">
        <v>35</v>
      </c>
      <c r="H15" s="10" t="str">
        <f t="shared" si="0"/>
        <v>INSERT INTO TMS_TID_DRVR (TK_CO_I, ID_CARD_I, DRVR_N, LST_UPDT_D, PARTNER_TX_D, DELETED, LAST_UPDATE_USER_AN) VALUES ('AACV','AACV14','AACV14',NOW_GMT(), NOW_GMT(), 'N', 'SYSTEM');</v>
      </c>
      <c r="I15" s="10" t="s">
        <v>212</v>
      </c>
      <c r="J15" s="11" t="s">
        <v>206</v>
      </c>
      <c r="K15" s="11" t="s">
        <v>75</v>
      </c>
      <c r="L15" s="11" t="s">
        <v>213</v>
      </c>
      <c r="M15" s="194" t="str">
        <f t="shared" si="1"/>
        <v>INSERT INTO TOS_DRIVER( DRIVER_ID,NAME,SKEY,SITE_KEY,CREATE_BY,CREATE_TIME) values ('AACV14','AACV14',NEXTVAL('ZARA_SEQUENCE'),(SELECT SKEY FROM CAT_SITE WHERE CODE = 'LQN'),'SYSTEM',NOW_GMT());</v>
      </c>
    </row>
    <row r="16" spans="1:16" ht="60" x14ac:dyDescent="0.25">
      <c r="A16" s="10" t="s">
        <v>34</v>
      </c>
      <c r="B16" s="21" t="s">
        <v>468</v>
      </c>
      <c r="C16" s="11" t="s">
        <v>28</v>
      </c>
      <c r="D16" s="10" t="s">
        <v>487</v>
      </c>
      <c r="E16" s="11" t="s">
        <v>28</v>
      </c>
      <c r="F16" s="10" t="s">
        <v>487</v>
      </c>
      <c r="G16" s="11" t="s">
        <v>35</v>
      </c>
      <c r="H16" s="10" t="str">
        <f t="shared" si="0"/>
        <v>INSERT INTO TMS_TID_DRVR (TK_CO_I, ID_CARD_I, DRVR_N, LST_UPDT_D, PARTNER_TX_D, DELETED, LAST_UPDATE_USER_AN) VALUES ('AACV','AACV15','AACV15',NOW_GMT(), NOW_GMT(), 'N', 'SYSTEM');</v>
      </c>
      <c r="I16" s="10" t="s">
        <v>212</v>
      </c>
      <c r="J16" s="11" t="s">
        <v>206</v>
      </c>
      <c r="K16" s="11" t="s">
        <v>75</v>
      </c>
      <c r="L16" s="11" t="s">
        <v>213</v>
      </c>
      <c r="M16" s="194" t="str">
        <f t="shared" si="1"/>
        <v>INSERT INTO TOS_DRIVER( DRIVER_ID,NAME,SKEY,SITE_KEY,CREATE_BY,CREATE_TIME) values ('AACV15','AACV15',NEXTVAL('ZARA_SEQUENCE'),(SELECT SKEY FROM CAT_SITE WHERE CODE = 'LQN'),'SYSTEM',NOW_GMT());</v>
      </c>
    </row>
    <row r="17" spans="1:13" ht="60" x14ac:dyDescent="0.25">
      <c r="A17" s="10" t="s">
        <v>34</v>
      </c>
      <c r="B17" s="21" t="s">
        <v>468</v>
      </c>
      <c r="C17" s="11" t="s">
        <v>28</v>
      </c>
      <c r="D17" s="10" t="s">
        <v>488</v>
      </c>
      <c r="E17" s="11" t="s">
        <v>28</v>
      </c>
      <c r="F17" s="10" t="s">
        <v>488</v>
      </c>
      <c r="G17" s="11" t="s">
        <v>35</v>
      </c>
      <c r="H17" s="10" t="str">
        <f t="shared" si="0"/>
        <v>INSERT INTO TMS_TID_DRVR (TK_CO_I, ID_CARD_I, DRVR_N, LST_UPDT_D, PARTNER_TX_D, DELETED, LAST_UPDATE_USER_AN) VALUES ('AACV','AACV16','AACV16',NOW_GMT(), NOW_GMT(), 'N', 'SYSTEM');</v>
      </c>
      <c r="I17" s="10" t="s">
        <v>212</v>
      </c>
      <c r="J17" s="11" t="s">
        <v>206</v>
      </c>
      <c r="K17" s="11" t="s">
        <v>75</v>
      </c>
      <c r="L17" s="11" t="s">
        <v>213</v>
      </c>
      <c r="M17" s="194" t="str">
        <f t="shared" si="1"/>
        <v>INSERT INTO TOS_DRIVER( DRIVER_ID,NAME,SKEY,SITE_KEY,CREATE_BY,CREATE_TIME) values ('AACV16','AACV16',NEXTVAL('ZARA_SEQUENCE'),(SELECT SKEY FROM CAT_SITE WHERE CODE = 'LQN'),'SYSTEM',NOW_GMT());</v>
      </c>
    </row>
    <row r="18" spans="1:13" ht="60" x14ac:dyDescent="0.25">
      <c r="A18" s="10" t="s">
        <v>34</v>
      </c>
      <c r="B18" s="21" t="s">
        <v>468</v>
      </c>
      <c r="C18" s="11" t="s">
        <v>28</v>
      </c>
      <c r="D18" s="10" t="s">
        <v>489</v>
      </c>
      <c r="E18" s="11" t="s">
        <v>28</v>
      </c>
      <c r="F18" s="10" t="s">
        <v>489</v>
      </c>
      <c r="G18" s="11" t="s">
        <v>35</v>
      </c>
      <c r="H18" s="10" t="str">
        <f t="shared" si="0"/>
        <v>INSERT INTO TMS_TID_DRVR (TK_CO_I, ID_CARD_I, DRVR_N, LST_UPDT_D, PARTNER_TX_D, DELETED, LAST_UPDATE_USER_AN) VALUES ('AACV','AACV17','AACV17',NOW_GMT(), NOW_GMT(), 'N', 'SYSTEM');</v>
      </c>
      <c r="I18" s="10" t="s">
        <v>212</v>
      </c>
      <c r="J18" s="11" t="s">
        <v>206</v>
      </c>
      <c r="K18" s="11" t="s">
        <v>75</v>
      </c>
      <c r="L18" s="11" t="s">
        <v>213</v>
      </c>
      <c r="M18" s="194" t="str">
        <f t="shared" si="1"/>
        <v>INSERT INTO TOS_DRIVER( DRIVER_ID,NAME,SKEY,SITE_KEY,CREATE_BY,CREATE_TIME) values ('AACV17','AACV17',NEXTVAL('ZARA_SEQUENCE'),(SELECT SKEY FROM CAT_SITE WHERE CODE = 'LQN'),'SYSTEM',NOW_GMT());</v>
      </c>
    </row>
    <row r="19" spans="1:13" ht="60" x14ac:dyDescent="0.25">
      <c r="A19" s="10" t="s">
        <v>34</v>
      </c>
      <c r="B19" s="21" t="s">
        <v>468</v>
      </c>
      <c r="C19" s="11" t="s">
        <v>28</v>
      </c>
      <c r="D19" s="10" t="s">
        <v>490</v>
      </c>
      <c r="E19" s="11" t="s">
        <v>28</v>
      </c>
      <c r="F19" s="10" t="s">
        <v>490</v>
      </c>
      <c r="G19" s="11" t="s">
        <v>35</v>
      </c>
      <c r="H19" s="10" t="str">
        <f t="shared" si="0"/>
        <v>INSERT INTO TMS_TID_DRVR (TK_CO_I, ID_CARD_I, DRVR_N, LST_UPDT_D, PARTNER_TX_D, DELETED, LAST_UPDATE_USER_AN) VALUES ('AACV','AACV18','AACV18',NOW_GMT(), NOW_GMT(), 'N', 'SYSTEM');</v>
      </c>
      <c r="I19" s="10" t="s">
        <v>212</v>
      </c>
      <c r="J19" s="11" t="s">
        <v>206</v>
      </c>
      <c r="K19" s="11" t="s">
        <v>75</v>
      </c>
      <c r="L19" s="11" t="s">
        <v>213</v>
      </c>
      <c r="M19" s="194" t="str">
        <f t="shared" si="1"/>
        <v>INSERT INTO TOS_DRIVER( DRIVER_ID,NAME,SKEY,SITE_KEY,CREATE_BY,CREATE_TIME) values ('AACV18','AACV18',NEXTVAL('ZARA_SEQUENCE'),(SELECT SKEY FROM CAT_SITE WHERE CODE = 'LQN'),'SYSTEM',NOW_GMT());</v>
      </c>
    </row>
    <row r="20" spans="1:13" ht="60" x14ac:dyDescent="0.25">
      <c r="A20" s="10" t="s">
        <v>34</v>
      </c>
      <c r="B20" s="21" t="s">
        <v>468</v>
      </c>
      <c r="C20" s="11" t="s">
        <v>28</v>
      </c>
      <c r="D20" s="10" t="s">
        <v>491</v>
      </c>
      <c r="E20" s="11" t="s">
        <v>28</v>
      </c>
      <c r="F20" s="10" t="s">
        <v>491</v>
      </c>
      <c r="G20" s="11" t="s">
        <v>35</v>
      </c>
      <c r="H20" s="10" t="str">
        <f t="shared" si="0"/>
        <v>INSERT INTO TMS_TID_DRVR (TK_CO_I, ID_CARD_I, DRVR_N, LST_UPDT_D, PARTNER_TX_D, DELETED, LAST_UPDATE_USER_AN) VALUES ('AACV','AACV19','AACV19',NOW_GMT(), NOW_GMT(), 'N', 'SYSTEM');</v>
      </c>
      <c r="I20" s="10" t="s">
        <v>212</v>
      </c>
      <c r="J20" s="11" t="s">
        <v>206</v>
      </c>
      <c r="K20" s="11" t="s">
        <v>75</v>
      </c>
      <c r="L20" s="11" t="s">
        <v>213</v>
      </c>
      <c r="M20" s="194" t="str">
        <f t="shared" si="1"/>
        <v>INSERT INTO TOS_DRIVER( DRIVER_ID,NAME,SKEY,SITE_KEY,CREATE_BY,CREATE_TIME) values ('AACV19','AACV19',NEXTVAL('ZARA_SEQUENCE'),(SELECT SKEY FROM CAT_SITE WHERE CODE = 'LQN'),'SYSTEM',NOW_GMT());</v>
      </c>
    </row>
    <row r="21" spans="1:13" ht="60" x14ac:dyDescent="0.25">
      <c r="A21" s="10" t="s">
        <v>34</v>
      </c>
      <c r="B21" s="21" t="s">
        <v>468</v>
      </c>
      <c r="C21" s="11" t="s">
        <v>28</v>
      </c>
      <c r="D21" s="10" t="s">
        <v>492</v>
      </c>
      <c r="E21" s="11" t="s">
        <v>28</v>
      </c>
      <c r="F21" s="10" t="s">
        <v>492</v>
      </c>
      <c r="G21" s="11" t="s">
        <v>35</v>
      </c>
      <c r="H21" s="10" t="str">
        <f t="shared" si="0"/>
        <v>INSERT INTO TMS_TID_DRVR (TK_CO_I, ID_CARD_I, DRVR_N, LST_UPDT_D, PARTNER_TX_D, DELETED, LAST_UPDATE_USER_AN) VALUES ('AACV','AACV20','AACV20',NOW_GMT(), NOW_GMT(), 'N', 'SYSTEM');</v>
      </c>
      <c r="I21" s="10" t="s">
        <v>212</v>
      </c>
      <c r="J21" s="11" t="s">
        <v>206</v>
      </c>
      <c r="K21" s="11" t="s">
        <v>75</v>
      </c>
      <c r="L21" s="11" t="s">
        <v>213</v>
      </c>
      <c r="M21" s="194" t="str">
        <f t="shared" si="1"/>
        <v>INSERT INTO TOS_DRIVER( DRIVER_ID,NAME,SKEY,SITE_KEY,CREATE_BY,CREATE_TIME) values ('AACV20','AACV20',NEXTVAL('ZARA_SEQUENCE'),(SELECT SKEY FROM CAT_SITE WHERE CODE = 'LQN'),'SYSTEM',NOW_GMT());</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1"/>
  <sheetViews>
    <sheetView zoomScale="70" zoomScaleNormal="70" workbookViewId="0">
      <selection activeCell="H3" sqref="H3"/>
    </sheetView>
  </sheetViews>
  <sheetFormatPr defaultRowHeight="15" x14ac:dyDescent="0.25"/>
  <cols>
    <col min="1" max="1" width="50.5703125" style="17" customWidth="1"/>
    <col min="2" max="3" width="3.7109375" style="17" customWidth="1"/>
    <col min="4" max="4" width="18" style="17" customWidth="1"/>
    <col min="5" max="5" width="3.7109375" style="17" customWidth="1"/>
    <col min="6" max="6" width="18" style="17" customWidth="1"/>
    <col min="7" max="7" width="14.42578125" style="17" customWidth="1"/>
    <col min="8" max="8" width="67.140625" style="18" customWidth="1"/>
    <col min="9" max="9" width="52.7109375" style="18" customWidth="1"/>
    <col min="10" max="10" width="19.7109375" style="18" customWidth="1"/>
    <col min="11" max="14" width="11.28515625" style="18" customWidth="1"/>
    <col min="15" max="15" width="55.140625" style="17" customWidth="1"/>
    <col min="16" max="16384" width="9.140625" style="17"/>
  </cols>
  <sheetData>
    <row r="1" spans="1:15" ht="18.75" x14ac:dyDescent="0.3">
      <c r="A1" s="12"/>
      <c r="B1" s="12"/>
      <c r="C1" s="12"/>
      <c r="D1" s="7" t="s">
        <v>19</v>
      </c>
      <c r="E1" s="7"/>
      <c r="F1" s="7" t="s">
        <v>22</v>
      </c>
      <c r="G1" s="12"/>
      <c r="H1" s="6" t="s">
        <v>525</v>
      </c>
      <c r="I1" s="6"/>
      <c r="J1" s="6"/>
      <c r="K1" s="6"/>
      <c r="L1" s="6"/>
      <c r="M1" s="6"/>
      <c r="N1" s="6"/>
      <c r="O1" s="6" t="s">
        <v>194</v>
      </c>
    </row>
    <row r="2" spans="1:15" ht="147" customHeight="1" x14ac:dyDescent="0.25">
      <c r="A2" s="17" t="s">
        <v>36</v>
      </c>
      <c r="B2" s="17" t="s">
        <v>31</v>
      </c>
      <c r="C2" s="21" t="s">
        <v>32</v>
      </c>
      <c r="D2" s="10" t="s">
        <v>468</v>
      </c>
      <c r="E2" s="21" t="s">
        <v>28</v>
      </c>
      <c r="F2" s="10" t="s">
        <v>473</v>
      </c>
      <c r="G2" s="21" t="s">
        <v>33</v>
      </c>
      <c r="H2" s="18" t="str">
        <f>CONCATENATE(A2,B2,C2,D2,E2,F2,G2)</f>
        <v>INSERT INTO TMS_TID_TKCO_DRVR (TK_CO_I, ID_CARD_I, DELETED, LAST_UPDATE_TM, LAST_UPDATE_USER_AN) VALUES ('AACV','AACV1','N',NOW_GMT(),'SYSTEM');</v>
      </c>
      <c r="I2" s="18" t="s">
        <v>214</v>
      </c>
      <c r="J2" s="198" t="s">
        <v>210</v>
      </c>
      <c r="K2" s="198" t="s">
        <v>75</v>
      </c>
      <c r="L2" s="198" t="s">
        <v>215</v>
      </c>
      <c r="M2" s="198" t="s">
        <v>210</v>
      </c>
      <c r="N2" s="198" t="s">
        <v>202</v>
      </c>
      <c r="O2" s="194" t="str">
        <f>CONCATENATE(I2,D2,J2,K2,L2,F2,M2,K2,N2)</f>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 AND  SITE_KEY = (SELECT SKEY FROM CAT_SITE WHERE CODE = 'LQN')));</v>
      </c>
    </row>
    <row r="3" spans="1:15" ht="165" x14ac:dyDescent="0.25">
      <c r="A3" s="17" t="s">
        <v>36</v>
      </c>
      <c r="B3" s="17" t="s">
        <v>31</v>
      </c>
      <c r="C3" s="21" t="s">
        <v>32</v>
      </c>
      <c r="D3" s="10" t="s">
        <v>468</v>
      </c>
      <c r="E3" s="21" t="s">
        <v>28</v>
      </c>
      <c r="F3" s="17" t="s">
        <v>474</v>
      </c>
      <c r="G3" s="21" t="s">
        <v>33</v>
      </c>
      <c r="H3" s="18" t="str">
        <f t="shared" ref="H3:H21" si="0">CONCATENATE(A3,B3,C3,D3,E3,F3,G3)</f>
        <v>INSERT INTO TMS_TID_TKCO_DRVR (TK_CO_I, ID_CARD_I, DELETED, LAST_UPDATE_TM, LAST_UPDATE_USER_AN) VALUES ('AACV','AACV2','N',NOW_GMT(),'SYSTEM');</v>
      </c>
      <c r="I3" s="18" t="s">
        <v>214</v>
      </c>
      <c r="J3" s="198" t="s">
        <v>210</v>
      </c>
      <c r="K3" s="198" t="s">
        <v>75</v>
      </c>
      <c r="L3" s="198" t="s">
        <v>215</v>
      </c>
      <c r="M3" s="198" t="s">
        <v>210</v>
      </c>
      <c r="N3" s="198" t="s">
        <v>202</v>
      </c>
      <c r="O3" s="194" t="str">
        <f t="shared" ref="O3:O21" si="1">CONCATENATE(I3,D3,J3,K3,L3,F3,M3,K3,N3)</f>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'AACV2' AND  SITE_KEY = (SELECT SKEY FROM CAT_SITE WHERE CODE = 'LQN')));</v>
      </c>
    </row>
    <row r="4" spans="1:15" ht="165" x14ac:dyDescent="0.25">
      <c r="A4" s="17" t="s">
        <v>36</v>
      </c>
      <c r="B4" s="17" t="s">
        <v>31</v>
      </c>
      <c r="C4" s="21" t="s">
        <v>32</v>
      </c>
      <c r="D4" s="10" t="s">
        <v>468</v>
      </c>
      <c r="E4" s="21" t="s">
        <v>28</v>
      </c>
      <c r="F4" s="17" t="s">
        <v>475</v>
      </c>
      <c r="G4" s="21" t="s">
        <v>33</v>
      </c>
      <c r="H4" s="18" t="str">
        <f t="shared" si="0"/>
        <v>INSERT INTO TMS_TID_TKCO_DRVR (TK_CO_I, ID_CARD_I, DELETED, LAST_UPDATE_TM, LAST_UPDATE_USER_AN) VALUES ('AACV','AACV3','N',NOW_GMT(),'SYSTEM');</v>
      </c>
      <c r="I4" s="18" t="s">
        <v>214</v>
      </c>
      <c r="J4" s="198" t="s">
        <v>210</v>
      </c>
      <c r="K4" s="198" t="s">
        <v>75</v>
      </c>
      <c r="L4" s="198" t="s">
        <v>215</v>
      </c>
      <c r="M4" s="198" t="s">
        <v>210</v>
      </c>
      <c r="N4" s="198" t="s">
        <v>202</v>
      </c>
      <c r="O4"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'AACV3' AND  SITE_KEY = (SELECT SKEY FROM CAT_SITE WHERE CODE = 'LQN')));</v>
      </c>
    </row>
    <row r="5" spans="1:15" ht="165" x14ac:dyDescent="0.25">
      <c r="A5" s="17" t="s">
        <v>36</v>
      </c>
      <c r="B5" s="17" t="s">
        <v>31</v>
      </c>
      <c r="C5" s="21" t="s">
        <v>32</v>
      </c>
      <c r="D5" s="10" t="s">
        <v>468</v>
      </c>
      <c r="E5" s="21" t="s">
        <v>28</v>
      </c>
      <c r="F5" s="17" t="s">
        <v>476</v>
      </c>
      <c r="G5" s="21" t="s">
        <v>33</v>
      </c>
      <c r="H5" s="18" t="str">
        <f t="shared" si="0"/>
        <v>INSERT INTO TMS_TID_TKCO_DRVR (TK_CO_I, ID_CARD_I, DELETED, LAST_UPDATE_TM, LAST_UPDATE_USER_AN) VALUES ('AACV','AACV4','N',NOW_GMT(),'SYSTEM');</v>
      </c>
      <c r="I5" s="18" t="s">
        <v>214</v>
      </c>
      <c r="J5" s="198" t="s">
        <v>210</v>
      </c>
      <c r="K5" s="198" t="s">
        <v>75</v>
      </c>
      <c r="L5" s="198" t="s">
        <v>215</v>
      </c>
      <c r="M5" s="198" t="s">
        <v>210</v>
      </c>
      <c r="N5" s="198" t="s">
        <v>202</v>
      </c>
      <c r="O5"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'AACV4' AND  SITE_KEY = (SELECT SKEY FROM CAT_SITE WHERE CODE = 'LQN')));</v>
      </c>
    </row>
    <row r="6" spans="1:15" ht="165" x14ac:dyDescent="0.25">
      <c r="A6" s="17" t="s">
        <v>36</v>
      </c>
      <c r="B6" s="17" t="s">
        <v>31</v>
      </c>
      <c r="C6" s="21" t="s">
        <v>32</v>
      </c>
      <c r="D6" s="10" t="s">
        <v>468</v>
      </c>
      <c r="E6" s="21" t="s">
        <v>28</v>
      </c>
      <c r="F6" s="17" t="s">
        <v>477</v>
      </c>
      <c r="G6" s="21" t="s">
        <v>33</v>
      </c>
      <c r="H6" s="18" t="str">
        <f t="shared" si="0"/>
        <v>INSERT INTO TMS_TID_TKCO_DRVR (TK_CO_I, ID_CARD_I, DELETED, LAST_UPDATE_TM, LAST_UPDATE_USER_AN) VALUES ('AACV','AACV5','N',NOW_GMT(),'SYSTEM');</v>
      </c>
      <c r="I6" s="18" t="s">
        <v>214</v>
      </c>
      <c r="J6" s="198" t="s">
        <v>210</v>
      </c>
      <c r="K6" s="198" t="s">
        <v>75</v>
      </c>
      <c r="L6" s="198" t="s">
        <v>215</v>
      </c>
      <c r="M6" s="198" t="s">
        <v>210</v>
      </c>
      <c r="N6" s="198" t="s">
        <v>202</v>
      </c>
      <c r="O6"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'AACV5' AND  SITE_KEY = (SELECT SKEY FROM CAT_SITE WHERE CODE = 'LQN')));</v>
      </c>
    </row>
    <row r="7" spans="1:15" ht="165" x14ac:dyDescent="0.25">
      <c r="A7" s="17" t="s">
        <v>36</v>
      </c>
      <c r="B7" s="17" t="s">
        <v>31</v>
      </c>
      <c r="C7" s="21" t="s">
        <v>32</v>
      </c>
      <c r="D7" s="10" t="s">
        <v>468</v>
      </c>
      <c r="E7" s="21" t="s">
        <v>28</v>
      </c>
      <c r="F7" s="17" t="s">
        <v>478</v>
      </c>
      <c r="G7" s="21" t="s">
        <v>33</v>
      </c>
      <c r="H7" s="18" t="str">
        <f t="shared" si="0"/>
        <v>INSERT INTO TMS_TID_TKCO_DRVR (TK_CO_I, ID_CARD_I, DELETED, LAST_UPDATE_TM, LAST_UPDATE_USER_AN) VALUES ('AACV','AACV6','N',NOW_GMT(),'SYSTEM');</v>
      </c>
      <c r="I7" s="18" t="s">
        <v>214</v>
      </c>
      <c r="J7" s="198" t="s">
        <v>210</v>
      </c>
      <c r="K7" s="198" t="s">
        <v>75</v>
      </c>
      <c r="L7" s="198" t="s">
        <v>215</v>
      </c>
      <c r="M7" s="198" t="s">
        <v>210</v>
      </c>
      <c r="N7" s="198" t="s">
        <v>202</v>
      </c>
      <c r="O7"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'AACV6' AND  SITE_KEY = (SELECT SKEY FROM CAT_SITE WHERE CODE = 'LQN')));</v>
      </c>
    </row>
    <row r="8" spans="1:15" ht="165" x14ac:dyDescent="0.25">
      <c r="A8" s="17" t="s">
        <v>36</v>
      </c>
      <c r="B8" s="17" t="s">
        <v>31</v>
      </c>
      <c r="C8" s="21" t="s">
        <v>32</v>
      </c>
      <c r="D8" s="10" t="s">
        <v>468</v>
      </c>
      <c r="E8" s="21" t="s">
        <v>28</v>
      </c>
      <c r="F8" s="17" t="s">
        <v>479</v>
      </c>
      <c r="G8" s="21" t="s">
        <v>33</v>
      </c>
      <c r="H8" s="18" t="str">
        <f t="shared" si="0"/>
        <v>INSERT INTO TMS_TID_TKCO_DRVR (TK_CO_I, ID_CARD_I, DELETED, LAST_UPDATE_TM, LAST_UPDATE_USER_AN) VALUES ('AACV','AACV7','N',NOW_GMT(),'SYSTEM');</v>
      </c>
      <c r="I8" s="18" t="s">
        <v>214</v>
      </c>
      <c r="J8" s="198" t="s">
        <v>210</v>
      </c>
      <c r="K8" s="198" t="s">
        <v>75</v>
      </c>
      <c r="L8" s="198" t="s">
        <v>215</v>
      </c>
      <c r="M8" s="198" t="s">
        <v>210</v>
      </c>
      <c r="N8" s="198" t="s">
        <v>202</v>
      </c>
      <c r="O8"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'AACV7' AND  SITE_KEY = (SELECT SKEY FROM CAT_SITE WHERE CODE = 'LQN')));</v>
      </c>
    </row>
    <row r="9" spans="1:15" ht="165" x14ac:dyDescent="0.25">
      <c r="A9" s="17" t="s">
        <v>36</v>
      </c>
      <c r="B9" s="17" t="s">
        <v>31</v>
      </c>
      <c r="C9" s="21" t="s">
        <v>32</v>
      </c>
      <c r="D9" s="10" t="s">
        <v>468</v>
      </c>
      <c r="E9" s="21" t="s">
        <v>28</v>
      </c>
      <c r="F9" s="17" t="s">
        <v>480</v>
      </c>
      <c r="G9" s="21" t="s">
        <v>33</v>
      </c>
      <c r="H9" s="18" t="str">
        <f t="shared" si="0"/>
        <v>INSERT INTO TMS_TID_TKCO_DRVR (TK_CO_I, ID_CARD_I, DELETED, LAST_UPDATE_TM, LAST_UPDATE_USER_AN) VALUES ('AACV','AACV8','N',NOW_GMT(),'SYSTEM');</v>
      </c>
      <c r="I9" s="18" t="s">
        <v>214</v>
      </c>
      <c r="J9" s="198" t="s">
        <v>210</v>
      </c>
      <c r="K9" s="198" t="s">
        <v>75</v>
      </c>
      <c r="L9" s="198" t="s">
        <v>215</v>
      </c>
      <c r="M9" s="198" t="s">
        <v>210</v>
      </c>
      <c r="N9" s="198" t="s">
        <v>202</v>
      </c>
      <c r="O9"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'AACV8' AND  SITE_KEY = (SELECT SKEY FROM CAT_SITE WHERE CODE = 'LQN')));</v>
      </c>
    </row>
    <row r="10" spans="1:15" ht="165" x14ac:dyDescent="0.25">
      <c r="A10" s="17" t="s">
        <v>36</v>
      </c>
      <c r="B10" s="17" t="s">
        <v>31</v>
      </c>
      <c r="C10" s="21" t="s">
        <v>32</v>
      </c>
      <c r="D10" s="10" t="s">
        <v>468</v>
      </c>
      <c r="E10" s="21" t="s">
        <v>28</v>
      </c>
      <c r="F10" s="17" t="s">
        <v>481</v>
      </c>
      <c r="G10" s="21" t="s">
        <v>33</v>
      </c>
      <c r="H10" s="18" t="str">
        <f t="shared" si="0"/>
        <v>INSERT INTO TMS_TID_TKCO_DRVR (TK_CO_I, ID_CARD_I, DELETED, LAST_UPDATE_TM, LAST_UPDATE_USER_AN) VALUES ('AACV','AACV9','N',NOW_GMT(),'SYSTEM');</v>
      </c>
      <c r="I10" s="18" t="s">
        <v>214</v>
      </c>
      <c r="J10" s="198" t="s">
        <v>210</v>
      </c>
      <c r="K10" s="198" t="s">
        <v>75</v>
      </c>
      <c r="L10" s="198" t="s">
        <v>215</v>
      </c>
      <c r="M10" s="198" t="s">
        <v>210</v>
      </c>
      <c r="N10" s="198" t="s">
        <v>202</v>
      </c>
      <c r="O10"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'AACV9' AND  SITE_KEY = (SELECT SKEY FROM CAT_SITE WHERE CODE = 'LQN')));</v>
      </c>
    </row>
    <row r="11" spans="1:15" ht="165" x14ac:dyDescent="0.25">
      <c r="A11" s="17" t="s">
        <v>36</v>
      </c>
      <c r="B11" s="17" t="s">
        <v>31</v>
      </c>
      <c r="C11" s="21" t="s">
        <v>32</v>
      </c>
      <c r="D11" s="10" t="s">
        <v>468</v>
      </c>
      <c r="E11" s="21" t="s">
        <v>28</v>
      </c>
      <c r="F11" s="17" t="s">
        <v>482</v>
      </c>
      <c r="G11" s="21" t="s">
        <v>33</v>
      </c>
      <c r="H11" s="18" t="str">
        <f t="shared" si="0"/>
        <v>INSERT INTO TMS_TID_TKCO_DRVR (TK_CO_I, ID_CARD_I, DELETED, LAST_UPDATE_TM, LAST_UPDATE_USER_AN) VALUES ('AACV','AACV10','N',NOW_GMT(),'SYSTEM');</v>
      </c>
      <c r="I11" s="18" t="s">
        <v>214</v>
      </c>
      <c r="J11" s="198" t="s">
        <v>210</v>
      </c>
      <c r="K11" s="198" t="s">
        <v>75</v>
      </c>
      <c r="L11" s="198" t="s">
        <v>215</v>
      </c>
      <c r="M11" s="198" t="s">
        <v>210</v>
      </c>
      <c r="N11" s="198" t="s">
        <v>202</v>
      </c>
      <c r="O11"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'AACV10' AND  SITE_KEY = (SELECT SKEY FROM CAT_SITE WHERE CODE = 'LQN')));</v>
      </c>
    </row>
    <row r="12" spans="1:15" ht="165" x14ac:dyDescent="0.25">
      <c r="A12" s="17" t="s">
        <v>36</v>
      </c>
      <c r="B12" s="17" t="s">
        <v>31</v>
      </c>
      <c r="C12" s="21" t="s">
        <v>32</v>
      </c>
      <c r="D12" s="10" t="s">
        <v>468</v>
      </c>
      <c r="E12" s="21" t="s">
        <v>28</v>
      </c>
      <c r="F12" s="17" t="s">
        <v>483</v>
      </c>
      <c r="G12" s="21" t="s">
        <v>33</v>
      </c>
      <c r="H12" s="18" t="str">
        <f t="shared" si="0"/>
        <v>INSERT INTO TMS_TID_TKCO_DRVR (TK_CO_I, ID_CARD_I, DELETED, LAST_UPDATE_TM, LAST_UPDATE_USER_AN) VALUES ('AACV','AACV11','N',NOW_GMT(),'SYSTEM');</v>
      </c>
      <c r="I12" s="18" t="s">
        <v>214</v>
      </c>
      <c r="J12" s="198" t="s">
        <v>210</v>
      </c>
      <c r="K12" s="198" t="s">
        <v>75</v>
      </c>
      <c r="L12" s="198" t="s">
        <v>215</v>
      </c>
      <c r="M12" s="198" t="s">
        <v>210</v>
      </c>
      <c r="N12" s="198" t="s">
        <v>202</v>
      </c>
      <c r="O12"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'AACV11' AND  SITE_KEY = (SELECT SKEY FROM CAT_SITE WHERE CODE = 'LQN')));</v>
      </c>
    </row>
    <row r="13" spans="1:15" ht="165" x14ac:dyDescent="0.25">
      <c r="A13" s="17" t="s">
        <v>36</v>
      </c>
      <c r="B13" s="17" t="s">
        <v>31</v>
      </c>
      <c r="C13" s="21" t="s">
        <v>32</v>
      </c>
      <c r="D13" s="10" t="s">
        <v>468</v>
      </c>
      <c r="E13" s="21" t="s">
        <v>28</v>
      </c>
      <c r="F13" s="17" t="s">
        <v>484</v>
      </c>
      <c r="G13" s="21" t="s">
        <v>33</v>
      </c>
      <c r="H13" s="18" t="str">
        <f t="shared" si="0"/>
        <v>INSERT INTO TMS_TID_TKCO_DRVR (TK_CO_I, ID_CARD_I, DELETED, LAST_UPDATE_TM, LAST_UPDATE_USER_AN) VALUES ('AACV','AACV12','N',NOW_GMT(),'SYSTEM');</v>
      </c>
      <c r="I13" s="18" t="s">
        <v>214</v>
      </c>
      <c r="J13" s="198" t="s">
        <v>210</v>
      </c>
      <c r="K13" s="198" t="s">
        <v>75</v>
      </c>
      <c r="L13" s="198" t="s">
        <v>215</v>
      </c>
      <c r="M13" s="198" t="s">
        <v>210</v>
      </c>
      <c r="N13" s="198" t="s">
        <v>202</v>
      </c>
      <c r="O13"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'AACV12' AND  SITE_KEY = (SELECT SKEY FROM CAT_SITE WHERE CODE = 'LQN')));</v>
      </c>
    </row>
    <row r="14" spans="1:15" ht="165" x14ac:dyDescent="0.25">
      <c r="A14" s="17" t="s">
        <v>36</v>
      </c>
      <c r="B14" s="17" t="s">
        <v>31</v>
      </c>
      <c r="C14" s="21" t="s">
        <v>32</v>
      </c>
      <c r="D14" s="10" t="s">
        <v>468</v>
      </c>
      <c r="E14" s="21" t="s">
        <v>28</v>
      </c>
      <c r="F14" s="17" t="s">
        <v>485</v>
      </c>
      <c r="G14" s="21" t="s">
        <v>33</v>
      </c>
      <c r="H14" s="18" t="str">
        <f t="shared" si="0"/>
        <v>INSERT INTO TMS_TID_TKCO_DRVR (TK_CO_I, ID_CARD_I, DELETED, LAST_UPDATE_TM, LAST_UPDATE_USER_AN) VALUES ('AACV','AACV13','N',NOW_GMT(),'SYSTEM');</v>
      </c>
      <c r="I14" s="18" t="s">
        <v>214</v>
      </c>
      <c r="J14" s="198" t="s">
        <v>210</v>
      </c>
      <c r="K14" s="198" t="s">
        <v>75</v>
      </c>
      <c r="L14" s="198" t="s">
        <v>215</v>
      </c>
      <c r="M14" s="198" t="s">
        <v>210</v>
      </c>
      <c r="N14" s="198" t="s">
        <v>202</v>
      </c>
      <c r="O14"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'AACV13' AND  SITE_KEY = (SELECT SKEY FROM CAT_SITE WHERE CODE = 'LQN')));</v>
      </c>
    </row>
    <row r="15" spans="1:15" ht="165" x14ac:dyDescent="0.25">
      <c r="A15" s="17" t="s">
        <v>36</v>
      </c>
      <c r="B15" s="17" t="s">
        <v>31</v>
      </c>
      <c r="C15" s="21" t="s">
        <v>32</v>
      </c>
      <c r="D15" s="10" t="s">
        <v>468</v>
      </c>
      <c r="E15" s="21" t="s">
        <v>28</v>
      </c>
      <c r="F15" s="17" t="s">
        <v>486</v>
      </c>
      <c r="G15" s="21" t="s">
        <v>33</v>
      </c>
      <c r="H15" s="18" t="str">
        <f t="shared" si="0"/>
        <v>INSERT INTO TMS_TID_TKCO_DRVR (TK_CO_I, ID_CARD_I, DELETED, LAST_UPDATE_TM, LAST_UPDATE_USER_AN) VALUES ('AACV','AACV14','N',NOW_GMT(),'SYSTEM');</v>
      </c>
      <c r="I15" s="18" t="s">
        <v>214</v>
      </c>
      <c r="J15" s="198" t="s">
        <v>210</v>
      </c>
      <c r="K15" s="198" t="s">
        <v>75</v>
      </c>
      <c r="L15" s="198" t="s">
        <v>215</v>
      </c>
      <c r="M15" s="198" t="s">
        <v>210</v>
      </c>
      <c r="N15" s="198" t="s">
        <v>202</v>
      </c>
      <c r="O15"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'AACV14' AND  SITE_KEY = (SELECT SKEY FROM CAT_SITE WHERE CODE = 'LQN')));</v>
      </c>
    </row>
    <row r="16" spans="1:15" ht="165" x14ac:dyDescent="0.25">
      <c r="A16" s="17" t="s">
        <v>36</v>
      </c>
      <c r="B16" s="17" t="s">
        <v>31</v>
      </c>
      <c r="C16" s="21" t="s">
        <v>32</v>
      </c>
      <c r="D16" s="10" t="s">
        <v>468</v>
      </c>
      <c r="E16" s="21" t="s">
        <v>28</v>
      </c>
      <c r="F16" s="17" t="s">
        <v>487</v>
      </c>
      <c r="G16" s="21" t="s">
        <v>33</v>
      </c>
      <c r="H16" s="18" t="str">
        <f t="shared" si="0"/>
        <v>INSERT INTO TMS_TID_TKCO_DRVR (TK_CO_I, ID_CARD_I, DELETED, LAST_UPDATE_TM, LAST_UPDATE_USER_AN) VALUES ('AACV','AACV15','N',NOW_GMT(),'SYSTEM');</v>
      </c>
      <c r="I16" s="18" t="s">
        <v>214</v>
      </c>
      <c r="J16" s="198" t="s">
        <v>210</v>
      </c>
      <c r="K16" s="198" t="s">
        <v>75</v>
      </c>
      <c r="L16" s="198" t="s">
        <v>215</v>
      </c>
      <c r="M16" s="198" t="s">
        <v>210</v>
      </c>
      <c r="N16" s="198" t="s">
        <v>202</v>
      </c>
      <c r="O16"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'AACV15' AND  SITE_KEY = (SELECT SKEY FROM CAT_SITE WHERE CODE = 'LQN')));</v>
      </c>
    </row>
    <row r="17" spans="1:15" ht="165" x14ac:dyDescent="0.25">
      <c r="A17" s="17" t="s">
        <v>36</v>
      </c>
      <c r="B17" s="17" t="s">
        <v>31</v>
      </c>
      <c r="C17" s="21" t="s">
        <v>32</v>
      </c>
      <c r="D17" s="10" t="s">
        <v>468</v>
      </c>
      <c r="E17" s="21" t="s">
        <v>28</v>
      </c>
      <c r="F17" s="17" t="s">
        <v>488</v>
      </c>
      <c r="G17" s="21" t="s">
        <v>33</v>
      </c>
      <c r="H17" s="18" t="str">
        <f t="shared" si="0"/>
        <v>INSERT INTO TMS_TID_TKCO_DRVR (TK_CO_I, ID_CARD_I, DELETED, LAST_UPDATE_TM, LAST_UPDATE_USER_AN) VALUES ('AACV','AACV16','N',NOW_GMT(),'SYSTEM');</v>
      </c>
      <c r="I17" s="18" t="s">
        <v>214</v>
      </c>
      <c r="J17" s="198" t="s">
        <v>210</v>
      </c>
      <c r="K17" s="198" t="s">
        <v>75</v>
      </c>
      <c r="L17" s="198" t="s">
        <v>215</v>
      </c>
      <c r="M17" s="198" t="s">
        <v>210</v>
      </c>
      <c r="N17" s="198" t="s">
        <v>202</v>
      </c>
      <c r="O17"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'AACV16' AND  SITE_KEY = (SELECT SKEY FROM CAT_SITE WHERE CODE = 'LQN')));</v>
      </c>
    </row>
    <row r="18" spans="1:15" ht="165" x14ac:dyDescent="0.25">
      <c r="A18" s="17" t="s">
        <v>36</v>
      </c>
      <c r="B18" s="17" t="s">
        <v>31</v>
      </c>
      <c r="C18" s="21" t="s">
        <v>32</v>
      </c>
      <c r="D18" s="10" t="s">
        <v>468</v>
      </c>
      <c r="E18" s="21" t="s">
        <v>28</v>
      </c>
      <c r="F18" s="17" t="s">
        <v>489</v>
      </c>
      <c r="G18" s="21" t="s">
        <v>33</v>
      </c>
      <c r="H18" s="18" t="str">
        <f t="shared" si="0"/>
        <v>INSERT INTO TMS_TID_TKCO_DRVR (TK_CO_I, ID_CARD_I, DELETED, LAST_UPDATE_TM, LAST_UPDATE_USER_AN) VALUES ('AACV','AACV17','N',NOW_GMT(),'SYSTEM');</v>
      </c>
      <c r="I18" s="18" t="s">
        <v>214</v>
      </c>
      <c r="J18" s="198" t="s">
        <v>210</v>
      </c>
      <c r="K18" s="198" t="s">
        <v>75</v>
      </c>
      <c r="L18" s="198" t="s">
        <v>215</v>
      </c>
      <c r="M18" s="198" t="s">
        <v>210</v>
      </c>
      <c r="N18" s="198" t="s">
        <v>202</v>
      </c>
      <c r="O18"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'AACV17' AND  SITE_KEY = (SELECT SKEY FROM CAT_SITE WHERE CODE = 'LQN')));</v>
      </c>
    </row>
    <row r="19" spans="1:15" ht="165" x14ac:dyDescent="0.25">
      <c r="A19" s="17" t="s">
        <v>36</v>
      </c>
      <c r="B19" s="17" t="s">
        <v>31</v>
      </c>
      <c r="C19" s="21" t="s">
        <v>32</v>
      </c>
      <c r="D19" s="10" t="s">
        <v>468</v>
      </c>
      <c r="E19" s="21" t="s">
        <v>28</v>
      </c>
      <c r="F19" s="17" t="s">
        <v>490</v>
      </c>
      <c r="G19" s="21" t="s">
        <v>33</v>
      </c>
      <c r="H19" s="18" t="str">
        <f t="shared" si="0"/>
        <v>INSERT INTO TMS_TID_TKCO_DRVR (TK_CO_I, ID_CARD_I, DELETED, LAST_UPDATE_TM, LAST_UPDATE_USER_AN) VALUES ('AACV','AACV18','N',NOW_GMT(),'SYSTEM');</v>
      </c>
      <c r="I19" s="18" t="s">
        <v>214</v>
      </c>
      <c r="J19" s="198" t="s">
        <v>210</v>
      </c>
      <c r="K19" s="198" t="s">
        <v>75</v>
      </c>
      <c r="L19" s="198" t="s">
        <v>215</v>
      </c>
      <c r="M19" s="198" t="s">
        <v>210</v>
      </c>
      <c r="N19" s="198" t="s">
        <v>202</v>
      </c>
      <c r="O19"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'AACV18' AND  SITE_KEY = (SELECT SKEY FROM CAT_SITE WHERE CODE = 'LQN')));</v>
      </c>
    </row>
    <row r="20" spans="1:15" ht="165" x14ac:dyDescent="0.25">
      <c r="A20" s="17" t="s">
        <v>36</v>
      </c>
      <c r="B20" s="17" t="s">
        <v>31</v>
      </c>
      <c r="C20" s="21" t="s">
        <v>32</v>
      </c>
      <c r="D20" s="10" t="s">
        <v>468</v>
      </c>
      <c r="E20" s="21" t="s">
        <v>28</v>
      </c>
      <c r="F20" s="17" t="s">
        <v>491</v>
      </c>
      <c r="G20" s="21" t="s">
        <v>33</v>
      </c>
      <c r="H20" s="18" t="str">
        <f t="shared" si="0"/>
        <v>INSERT INTO TMS_TID_TKCO_DRVR (TK_CO_I, ID_CARD_I, DELETED, LAST_UPDATE_TM, LAST_UPDATE_USER_AN) VALUES ('AACV','AACV19','N',NOW_GMT(),'SYSTEM');</v>
      </c>
      <c r="I20" s="18" t="s">
        <v>214</v>
      </c>
      <c r="J20" s="198" t="s">
        <v>210</v>
      </c>
      <c r="K20" s="198" t="s">
        <v>75</v>
      </c>
      <c r="L20" s="198" t="s">
        <v>215</v>
      </c>
      <c r="M20" s="198" t="s">
        <v>210</v>
      </c>
      <c r="N20" s="198" t="s">
        <v>202</v>
      </c>
      <c r="O20"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'AACV19' AND  SITE_KEY = (SELECT SKEY FROM CAT_SITE WHERE CODE = 'LQN')));</v>
      </c>
    </row>
    <row r="21" spans="1:15" ht="165" x14ac:dyDescent="0.25">
      <c r="A21" s="17" t="s">
        <v>36</v>
      </c>
      <c r="B21" s="17" t="s">
        <v>31</v>
      </c>
      <c r="C21" s="21" t="s">
        <v>32</v>
      </c>
      <c r="D21" s="10" t="s">
        <v>468</v>
      </c>
      <c r="E21" s="21" t="s">
        <v>28</v>
      </c>
      <c r="F21" s="17" t="s">
        <v>492</v>
      </c>
      <c r="G21" s="21" t="s">
        <v>33</v>
      </c>
      <c r="H21" s="18" t="str">
        <f t="shared" si="0"/>
        <v>INSERT INTO TMS_TID_TKCO_DRVR (TK_CO_I, ID_CARD_I, DELETED, LAST_UPDATE_TM, LAST_UPDATE_USER_AN) VALUES ('AACV','AACV20','N',NOW_GMT(),'SYSTEM');</v>
      </c>
      <c r="I21" s="18" t="s">
        <v>214</v>
      </c>
      <c r="J21" s="198" t="s">
        <v>210</v>
      </c>
      <c r="K21" s="198" t="s">
        <v>75</v>
      </c>
      <c r="L21" s="198" t="s">
        <v>215</v>
      </c>
      <c r="M21" s="198" t="s">
        <v>210</v>
      </c>
      <c r="N21" s="198" t="s">
        <v>202</v>
      </c>
      <c r="O21" s="194" t="str">
        <f t="shared" si="1"/>
        <v>INSERT INTO TOS_TRUCK_COMPANY_DRIVER(SKEY,TRUCK_COMPANY_KEY,DRIVER_KEY) values (NEXTVAL('ZARA_SEQUENCE'),(SELECT SKEY FROM TOS_TRUCK_COMPANY WHERE BIZ_UNIT_KEY = (SELECT SKEY FROM CAT_BIZ_UNIT WHERE BIZ_TYPE_CODE = 'TRUCKING_COMPANY' AND CODE = 'AACV' AND  SITE_KEY = (SELECT SKEY FROM CAT_SITE WHERE CODE = 'LQN'))),(SELECT SKEY FROM TOS_DRIVER WHERE DRIVER_ID = 'AACV20' AND  SITE_KEY = (SELECT SKEY FROM CAT_SITE WHERE CODE = 'LQN')));</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configurations</vt:lpstr>
      <vt:lpstr>appointment</vt:lpstr>
      <vt:lpstr>export</vt:lpstr>
      <vt:lpstr>import</vt:lpstr>
      <vt:lpstr>add trucking company</vt:lpstr>
      <vt:lpstr>add tractor</vt:lpstr>
      <vt:lpstr>relate tractor to company</vt:lpstr>
      <vt:lpstr>add driver</vt:lpstr>
      <vt:lpstr>relate driver to company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2023-08-07T03:07:45Z</dcterms:modified>
</cp:coreProperties>
</file>