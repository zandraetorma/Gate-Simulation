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Katalon Automation Tool\Gate-Simulation\Test Data\"/>
    </mc:Choice>
  </mc:AlternateContent>
  <bookViews>
    <workbookView xWindow="0" yWindow="0" windowWidth="20490" windowHeight="6495"/>
  </bookViews>
  <sheets>
    <sheet name="Main" sheetId="1" r:id="rId1"/>
    <sheet name="add trucking company" sheetId="7" r:id="rId2"/>
    <sheet name="add tractor" sheetId="2" r:id="rId3"/>
    <sheet name="relate tractor to company" sheetId="3" r:id="rId4"/>
    <sheet name="add driver" sheetId="4" r:id="rId5"/>
    <sheet name="relate driver to company" sheetId="5" r:id="rId6"/>
    <sheet name="import" sheetId="6" r:id="rId7"/>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 i="5" l="1"/>
  <c r="H4" i="5"/>
  <c r="H5" i="5"/>
  <c r="H6" i="5"/>
  <c r="H7" i="5"/>
  <c r="H8" i="5"/>
  <c r="H9" i="5"/>
  <c r="H10" i="5"/>
  <c r="H11" i="5"/>
  <c r="H12" i="5"/>
  <c r="H13" i="5"/>
  <c r="H14" i="5"/>
  <c r="H15" i="5"/>
  <c r="H16" i="5"/>
  <c r="H17" i="5"/>
  <c r="H18" i="5"/>
  <c r="H19" i="5"/>
  <c r="H20" i="5"/>
  <c r="H21" i="5"/>
  <c r="H3" i="4"/>
  <c r="H4" i="4"/>
  <c r="H5" i="4"/>
  <c r="H6" i="4"/>
  <c r="H7" i="4"/>
  <c r="H8" i="4"/>
  <c r="H9" i="4"/>
  <c r="H10" i="4"/>
  <c r="H11" i="4"/>
  <c r="H12" i="4"/>
  <c r="H13" i="4"/>
  <c r="H14" i="4"/>
  <c r="H15" i="4"/>
  <c r="H16" i="4"/>
  <c r="H17" i="4"/>
  <c r="H18" i="4"/>
  <c r="H19" i="4"/>
  <c r="H20" i="4"/>
  <c r="H21" i="4"/>
  <c r="H3" i="3"/>
  <c r="H4" i="3"/>
  <c r="H5" i="3"/>
  <c r="H6" i="3"/>
  <c r="H7" i="3"/>
  <c r="H8" i="3"/>
  <c r="H9" i="3"/>
  <c r="H10" i="3"/>
  <c r="H11" i="3"/>
  <c r="H12" i="3"/>
  <c r="H13" i="3"/>
  <c r="H14" i="3"/>
  <c r="H15" i="3"/>
  <c r="H16" i="3"/>
  <c r="H17" i="3"/>
  <c r="H18" i="3"/>
  <c r="H19" i="3"/>
  <c r="H20" i="3"/>
  <c r="H21" i="3"/>
  <c r="F3" i="2"/>
  <c r="F4" i="2"/>
  <c r="F5" i="2"/>
  <c r="F6" i="2"/>
  <c r="F7" i="2"/>
  <c r="F8" i="2"/>
  <c r="F9" i="2"/>
  <c r="F10" i="2"/>
  <c r="F11" i="2"/>
  <c r="F12" i="2"/>
  <c r="F13" i="2"/>
  <c r="F14" i="2"/>
  <c r="F15" i="2"/>
  <c r="F16" i="2"/>
  <c r="F17" i="2"/>
  <c r="F18" i="2"/>
  <c r="F19" i="2"/>
  <c r="F20" i="2"/>
  <c r="F21" i="2"/>
  <c r="H2" i="5" l="1"/>
  <c r="H2" i="4"/>
  <c r="H2" i="3"/>
  <c r="F2" i="2"/>
  <c r="F2" i="7"/>
  <c r="D34" i="1"/>
  <c r="B34" i="1"/>
  <c r="D29" i="1"/>
</calcChain>
</file>

<file path=xl/sharedStrings.xml><?xml version="1.0" encoding="utf-8"?>
<sst xmlns="http://schemas.openxmlformats.org/spreadsheetml/2006/main" count="656" uniqueCount="112">
  <si>
    <t>Create Gate Visit By:</t>
  </si>
  <si>
    <t>Select Site</t>
  </si>
  <si>
    <t>Interval Range (in_min)</t>
  </si>
  <si>
    <t>Export XLSX File Name</t>
  </si>
  <si>
    <t>CSV File Name</t>
  </si>
  <si>
    <t>Create By Appointment in Postman (for appointment only)</t>
  </si>
  <si>
    <t>min</t>
  </si>
  <si>
    <t>max</t>
  </si>
  <si>
    <t>Lane Name</t>
  </si>
  <si>
    <t>Out Lane</t>
  </si>
  <si>
    <t>In Lane (IN or BOTH)</t>
  </si>
  <si>
    <t>Appointment Start Time</t>
  </si>
  <si>
    <t>Cy Gate Lane</t>
  </si>
  <si>
    <t>MSK</t>
  </si>
  <si>
    <t>Cntr No. Prefix</t>
  </si>
  <si>
    <t>MMMN</t>
  </si>
  <si>
    <t>Operator</t>
  </si>
  <si>
    <t>Outbound Visit</t>
  </si>
  <si>
    <t>POL</t>
  </si>
  <si>
    <t>CLLQN</t>
  </si>
  <si>
    <t>POD</t>
  </si>
  <si>
    <t>SGSIN</t>
  </si>
  <si>
    <t>Booking Number</t>
  </si>
  <si>
    <t>BKGGS01</t>
  </si>
  <si>
    <t>ISO Type</t>
  </si>
  <si>
    <t>SS</t>
  </si>
  <si>
    <t>Laden Status</t>
  </si>
  <si>
    <t>Number of Data</t>
  </si>
  <si>
    <t>EX</t>
  </si>
  <si>
    <t>F</t>
  </si>
  <si>
    <t>Total</t>
  </si>
  <si>
    <t>trucking co.</t>
  </si>
  <si>
    <t>truck license</t>
  </si>
  <si>
    <t>license plate</t>
  </si>
  <si>
    <t>driver id</t>
  </si>
  <si>
    <t>driver name</t>
  </si>
  <si>
    <t>Number of data</t>
  </si>
  <si>
    <t>Truck and Driver Creation</t>
  </si>
  <si>
    <t>EXPORT Preadvise Container</t>
  </si>
  <si>
    <t>Gate Data Preparation</t>
  </si>
  <si>
    <t>RUN THIS IN DB</t>
  </si>
  <si>
    <t>INSERT INTO TMS_TID_TK (TK_I, LICENCE_PLATE_AN, SUSPEND_FROM_TM, SUSPEND_TO_TM, TRACTOR_STATUS_CODE, DELETED, PARTNER_TX_D, LAST_UPDATE_USER_AN,LST_UPDT_D) VALUES ('</t>
  </si>
  <si>
    <t>','</t>
  </si>
  <si>
    <t>', null, null, 'A','N',NOW_GMT(),'SYSTEM',NOW_GMT());</t>
  </si>
  <si>
    <t xml:space="preserve">INSERT INTO TMS_TID_TKCO_TK (TK_CO_I, TK_I, DELETED, LAST_UPDATE_TM, LAST_UPDATE_USER_AN) VALUES </t>
  </si>
  <si>
    <t>(</t>
  </si>
  <si>
    <t>'</t>
  </si>
  <si>
    <t>','N',NOW_GMT(),'SYSTEM');</t>
  </si>
  <si>
    <t>INSERT INTO TMS_TID_DRVR (TK_CO_I, ID_CARD_I, DRVR_N, LST_UPDT_D, PARTNER_TX_D, DELETED, LAST_UPDATE_USER_AN) VALUES ('</t>
  </si>
  <si>
    <t>',NOW_GMT(), NOW_GMT(), 'N', 'SYSTEM');</t>
  </si>
  <si>
    <t xml:space="preserve">INSERT INTO TMS_TID_TKCO_DRVR (TK_CO_I, ID_CARD_I, DELETED, LAST_UPDATE_TM, LAST_UPDATE_USER_AN) VALUES </t>
  </si>
  <si>
    <t>Cntr No.</t>
  </si>
  <si>
    <t>Opr</t>
  </si>
  <si>
    <t>Size</t>
  </si>
  <si>
    <t xml:space="preserve">Bkg No. </t>
  </si>
  <si>
    <t>Postgres SQL Query to extract container list</t>
  </si>
  <si>
    <t>select cntr_an, shipping_status_code , oper_c, container_type_c, case when is_laden &gt; 0 then 'FCL'else 'Empty' end as laden_status,sizetype_size_an, bkg_i from tms_cntr_grp1 where shipping_status_code = 'IM' and loc_s = 'Y' and cntr_an like 'ZAAA%';;</t>
  </si>
  <si>
    <t>Oracle</t>
  </si>
  <si>
    <t>select cntr_an, shipping_status_code , oper_c, container_type_c, decode(is_laden, 0, 'Empty', 1, 'FCL') as laden_status,sizetype_size_an from tms_cntr_grp1 where shipping_status_code = 'IM' and loc_s = 'Y';</t>
  </si>
  <si>
    <t>E</t>
  </si>
  <si>
    <t>Booking Operator</t>
  </si>
  <si>
    <t>IMPORT Container Query</t>
  </si>
  <si>
    <t>ST</t>
  </si>
  <si>
    <t>INSERT INTO TMS_TID_TKCO (TK_CO_I, LST_UPDT_D, TK_CO_N, DELETED,  PARTNER_TX_D, LAST_UPDATE_USER_AN) VALUES ('</t>
  </si>
  <si>
    <t>trucking company code</t>
  </si>
  <si>
    <t>trucking company name</t>
  </si>
  <si>
    <t>trucking co. code</t>
  </si>
  <si>
    <t>trucking co. name</t>
  </si>
  <si>
    <t>', NOW_GMT(), '</t>
  </si>
  <si>
    <t>', 'N', NOW_GMT(), 'SYSTEM');</t>
  </si>
  <si>
    <t>IM</t>
  </si>
  <si>
    <t>FCL</t>
  </si>
  <si>
    <t>Bkg Opr</t>
  </si>
  <si>
    <t>*Paste query results on Import sheet located on this workbook before clicking the generate test data button</t>
  </si>
  <si>
    <t>ZAAA0000001</t>
  </si>
  <si>
    <t>ZAAA0000002</t>
  </si>
  <si>
    <t>ZAAA0000003</t>
  </si>
  <si>
    <t>ZAAA0000004</t>
  </si>
  <si>
    <t>ZAAA0000005</t>
  </si>
  <si>
    <t>ZAAA0000006</t>
  </si>
  <si>
    <t>ZAAA0000007</t>
  </si>
  <si>
    <t>ZAAA0000008</t>
  </si>
  <si>
    <t>ZAAA0000009</t>
  </si>
  <si>
    <t>Number of In Gate Lanes</t>
  </si>
  <si>
    <t>ZACE</t>
  </si>
  <si>
    <t>ZACE1</t>
  </si>
  <si>
    <t>ZACE2</t>
  </si>
  <si>
    <t>ZACE3</t>
  </si>
  <si>
    <t>ZACE4</t>
  </si>
  <si>
    <t>ZACE5</t>
  </si>
  <si>
    <t>ZACE6</t>
  </si>
  <si>
    <t>ZACE7</t>
  </si>
  <si>
    <t>ZACE8</t>
  </si>
  <si>
    <t>ZACE9</t>
  </si>
  <si>
    <t>ZACE10</t>
  </si>
  <si>
    <t>ZACE11</t>
  </si>
  <si>
    <t>ZACE12</t>
  </si>
  <si>
    <t>ZACE13</t>
  </si>
  <si>
    <t>ZACE14</t>
  </si>
  <si>
    <t>ZACE15</t>
  </si>
  <si>
    <t>ZACE16</t>
  </si>
  <si>
    <t>ZACE17</t>
  </si>
  <si>
    <t>ZACE18</t>
  </si>
  <si>
    <t>ZACE19</t>
  </si>
  <si>
    <t>ZACE20</t>
  </si>
  <si>
    <t>ZACE100</t>
  </si>
  <si>
    <t>*adds 1 hour for deadline, do not change the format (yyyy-mm-dd h:mm)</t>
  </si>
  <si>
    <t>IT1</t>
  </si>
  <si>
    <t>IN</t>
  </si>
  <si>
    <t>OT1</t>
  </si>
  <si>
    <t>IT2</t>
  </si>
  <si>
    <t>Batch Appointment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</si>
</sst>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h:mm"/>
  </numFmts>
  <fonts count="16" x14ac:knownFonts="1">
    <font>
      <sz val="11"/>
      <color theme="1"/>
      <name val="Calibri"/>
      <family val="2"/>
      <scheme val="minor"/>
    </font>
    <font>
      <sz val="12"/>
      <color theme="1"/>
      <name val="Calibri"/>
      <family val="2"/>
      <scheme val="minor"/>
    </font>
    <font>
      <sz val="12"/>
      <color theme="0"/>
      <name val="Calibri"/>
      <family val="2"/>
      <scheme val="minor"/>
    </font>
    <font>
      <sz val="14"/>
      <color theme="1"/>
      <name val="Calibri"/>
      <family val="2"/>
      <scheme val="minor"/>
    </font>
    <font>
      <i/>
      <sz val="12"/>
      <color theme="1"/>
      <name val="Calibri"/>
      <family val="2"/>
      <scheme val="minor"/>
    </font>
    <font>
      <b/>
      <sz val="11"/>
      <color theme="1"/>
      <name val="Calibri"/>
      <family val="2"/>
      <scheme val="minor"/>
    </font>
    <font>
      <sz val="10"/>
      <name val="Arial"/>
    </font>
    <font>
      <b/>
      <sz val="14"/>
      <color theme="1"/>
      <name val="Calibri"/>
      <family val="2"/>
      <scheme val="minor"/>
    </font>
    <font>
      <b/>
      <sz val="14"/>
      <color rgb="FFFF0000"/>
      <name val="Calibri"/>
      <family val="2"/>
      <scheme val="minor"/>
    </font>
    <font>
      <b/>
      <sz val="11"/>
      <color rgb="FFFF0000"/>
      <name val="Calibri"/>
      <family val="2"/>
      <scheme val="minor"/>
    </font>
    <font>
      <b/>
      <sz val="10"/>
      <name val="Arial"/>
      <family val="2"/>
    </font>
    <font>
      <i/>
      <sz val="12"/>
      <color rgb="FFFF0000"/>
      <name val="Calibri"/>
      <family val="2"/>
      <scheme val="minor"/>
    </font>
    <font>
      <sz val="12"/>
      <name val="Calibri"/>
      <family val="2"/>
      <scheme val="minor"/>
    </font>
    <font>
      <b/>
      <sz val="14"/>
      <color theme="0"/>
      <name val="Calibri"/>
      <family val="2"/>
      <scheme val="minor"/>
    </font>
    <font>
      <b/>
      <sz val="12"/>
      <color rgb="FFFF0000"/>
      <name val="Calibri"/>
      <family val="2"/>
      <scheme val="minor"/>
    </font>
    <font>
      <i/>
      <sz val="10"/>
      <color rgb="FFFF0000"/>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rgb="FF00FF00"/>
        <bgColor indexed="64"/>
      </patternFill>
    </fill>
    <fill>
      <patternFill patternType="solid">
        <fgColor theme="0" tint="-0.14999847407452621"/>
        <bgColor indexed="64"/>
      </patternFill>
    </fill>
    <fill>
      <patternFill patternType="solid">
        <fgColor rgb="FFCCFF99"/>
        <bgColor indexed="64"/>
      </patternFill>
    </fill>
    <fill>
      <patternFill patternType="solid">
        <fgColor rgb="FF66FF33"/>
        <bgColor indexed="64"/>
      </patternFill>
    </fill>
    <fill>
      <patternFill patternType="solid">
        <fgColor theme="2" tint="-0.49998474074526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medium">
        <color indexed="64"/>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top style="medium">
        <color indexed="64"/>
      </top>
      <bottom style="thin">
        <color theme="0" tint="-0.249977111117893"/>
      </bottom>
      <diagonal/>
    </border>
    <border>
      <left/>
      <right/>
      <top style="medium">
        <color indexed="64"/>
      </top>
      <bottom style="thin">
        <color theme="0" tint="-0.249977111117893"/>
      </bottom>
      <diagonal/>
    </border>
    <border>
      <left/>
      <right style="medium">
        <color indexed="64"/>
      </right>
      <top style="medium">
        <color indexed="64"/>
      </top>
      <bottom style="thin">
        <color theme="0" tint="-0.249977111117893"/>
      </bottom>
      <diagonal/>
    </border>
    <border>
      <left style="medium">
        <color indexed="64"/>
      </left>
      <right style="thin">
        <color theme="0" tint="-0.249977111117893"/>
      </right>
      <top style="thin">
        <color theme="0" tint="-0.249977111117893"/>
      </top>
      <bottom/>
      <diagonal/>
    </border>
    <border>
      <left style="medium">
        <color indexed="64"/>
      </left>
      <right style="thin">
        <color theme="0" tint="-0.249977111117893"/>
      </right>
      <top/>
      <bottom style="thin">
        <color theme="0" tint="-0.249977111117893"/>
      </bottom>
      <diagonal/>
    </border>
    <border>
      <left style="medium">
        <color indexed="64"/>
      </left>
      <right style="thin">
        <color theme="0" tint="-0.249977111117893"/>
      </right>
      <top style="medium">
        <color indexed="64"/>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249977111117893"/>
      </left>
      <right style="medium">
        <color indexed="64"/>
      </right>
      <top style="thin">
        <color theme="0" tint="-0.249977111117893"/>
      </top>
      <bottom/>
      <diagonal/>
    </border>
    <border>
      <left style="thin">
        <color theme="0" tint="-0.14999847407452621"/>
      </left>
      <right style="thin">
        <color theme="0" tint="-0.14999847407452621"/>
      </right>
      <top/>
      <bottom style="thin">
        <color theme="0" tint="-0.14999847407452621"/>
      </bottom>
      <diagonal/>
    </border>
    <border>
      <left/>
      <right style="medium">
        <color indexed="64"/>
      </right>
      <top/>
      <bottom style="thin">
        <color theme="0" tint="-0.249977111117893"/>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bottom style="thin">
        <color theme="0" tint="-0.14999847407452621"/>
      </bottom>
      <diagonal/>
    </border>
  </borders>
  <cellStyleXfs count="3">
    <xf numFmtId="0" fontId="0" fillId="0" borderId="0"/>
    <xf numFmtId="0" fontId="1" fillId="0" borderId="0"/>
    <xf numFmtId="0" fontId="6" fillId="0" borderId="0"/>
  </cellStyleXfs>
  <cellXfs count="126">
    <xf numFmtId="0" fontId="0" fillId="0" borderId="0" xfId="0"/>
    <xf numFmtId="0" fontId="2" fillId="0" borderId="0" xfId="1" applyFont="1" applyFill="1" applyBorder="1" applyAlignment="1" applyProtection="1">
      <alignment horizontal="left" vertical="center"/>
      <protection locked="0"/>
    </xf>
    <xf numFmtId="0" fontId="1" fillId="0" borderId="0" xfId="1" applyFont="1" applyFill="1" applyBorder="1" applyAlignment="1" applyProtection="1">
      <alignment horizontal="left" vertical="center"/>
      <protection locked="0"/>
    </xf>
    <xf numFmtId="0" fontId="1" fillId="0" borderId="0" xfId="1" applyFont="1" applyFill="1" applyBorder="1" applyAlignment="1" applyProtection="1">
      <alignment vertical="center" wrapText="1"/>
      <protection locked="0"/>
    </xf>
    <xf numFmtId="0" fontId="1" fillId="0" borderId="0" xfId="1" applyFont="1" applyFill="1" applyBorder="1" applyAlignment="1" applyProtection="1">
      <alignment vertical="center"/>
    </xf>
    <xf numFmtId="0" fontId="0" fillId="0" borderId="0" xfId="0" applyAlignment="1">
      <alignment wrapText="1"/>
    </xf>
    <xf numFmtId="0" fontId="1" fillId="0" borderId="0" xfId="1" applyFont="1" applyFill="1" applyBorder="1" applyAlignment="1" applyProtection="1">
      <alignment vertical="center" wrapText="1"/>
    </xf>
    <xf numFmtId="0" fontId="3" fillId="6" borderId="1" xfId="0" applyFont="1" applyFill="1" applyBorder="1" applyAlignment="1">
      <alignment wrapText="1"/>
    </xf>
    <xf numFmtId="0" fontId="7" fillId="6" borderId="1" xfId="0" applyFont="1" applyFill="1" applyBorder="1" applyAlignment="1">
      <alignment wrapText="1"/>
    </xf>
    <xf numFmtId="49" fontId="7" fillId="6" borderId="1" xfId="0" applyNumberFormat="1" applyFont="1" applyFill="1" applyBorder="1" applyAlignment="1">
      <alignment wrapText="1"/>
    </xf>
    <xf numFmtId="0" fontId="8" fillId="0" borderId="0" xfId="0" applyFont="1" applyAlignment="1">
      <alignment wrapText="1"/>
    </xf>
    <xf numFmtId="0" fontId="3" fillId="0" borderId="0" xfId="0" applyFont="1" applyAlignment="1">
      <alignment wrapText="1"/>
    </xf>
    <xf numFmtId="0" fontId="0" fillId="0" borderId="0" xfId="0" applyFont="1" applyAlignment="1">
      <alignment wrapText="1"/>
    </xf>
    <xf numFmtId="0" fontId="0" fillId="0" borderId="0" xfId="0" quotePrefix="1" applyFont="1" applyAlignment="1">
      <alignment wrapText="1"/>
    </xf>
    <xf numFmtId="49" fontId="3" fillId="6" borderId="1" xfId="0" applyNumberFormat="1" applyFont="1" applyFill="1" applyBorder="1" applyAlignment="1">
      <alignment wrapText="1"/>
    </xf>
    <xf numFmtId="49" fontId="3" fillId="0" borderId="0" xfId="0" applyNumberFormat="1" applyFont="1" applyAlignment="1">
      <alignment wrapText="1"/>
    </xf>
    <xf numFmtId="49" fontId="0" fillId="0" borderId="0" xfId="0" applyNumberFormat="1" applyAlignment="1">
      <alignment wrapText="1"/>
    </xf>
    <xf numFmtId="49" fontId="0" fillId="0" borderId="0" xfId="0" quotePrefix="1" applyNumberFormat="1" applyAlignment="1">
      <alignment wrapText="1"/>
    </xf>
    <xf numFmtId="0" fontId="0" fillId="0" borderId="0" xfId="0" applyNumberFormat="1" applyAlignment="1">
      <alignment wrapText="1"/>
    </xf>
    <xf numFmtId="49" fontId="0" fillId="0" borderId="0" xfId="0" applyNumberFormat="1" applyFont="1" applyAlignment="1">
      <alignment wrapText="1"/>
    </xf>
    <xf numFmtId="0" fontId="0" fillId="0" borderId="0" xfId="0" applyNumberFormat="1" applyFont="1" applyAlignment="1">
      <alignment wrapText="1"/>
    </xf>
    <xf numFmtId="0" fontId="0" fillId="6" borderId="1" xfId="0" applyFont="1" applyFill="1" applyBorder="1" applyAlignment="1">
      <alignment wrapText="1"/>
    </xf>
    <xf numFmtId="0" fontId="9" fillId="0" borderId="0" xfId="0" applyFont="1" applyAlignment="1">
      <alignment wrapText="1"/>
    </xf>
    <xf numFmtId="49" fontId="0" fillId="0" borderId="0" xfId="0" quotePrefix="1" applyNumberFormat="1" applyFont="1" applyAlignment="1">
      <alignment wrapText="1"/>
    </xf>
    <xf numFmtId="0" fontId="5" fillId="6" borderId="1" xfId="0" applyFont="1" applyFill="1" applyBorder="1" applyAlignment="1">
      <alignment wrapText="1"/>
    </xf>
    <xf numFmtId="0" fontId="10" fillId="6" borderId="1" xfId="2" applyFont="1" applyFill="1" applyBorder="1" applyAlignment="1">
      <alignment horizontal="center" wrapText="1"/>
    </xf>
    <xf numFmtId="0" fontId="10" fillId="6" borderId="1" xfId="2" applyFont="1" applyFill="1" applyBorder="1" applyAlignment="1">
      <alignment wrapText="1"/>
    </xf>
    <xf numFmtId="0" fontId="0" fillId="0" borderId="0" xfId="0" applyAlignment="1">
      <alignment horizontal="left" wrapText="1"/>
    </xf>
    <xf numFmtId="0" fontId="6" fillId="0" borderId="0" xfId="2" applyAlignment="1">
      <alignment horizontal="left" wrapText="1"/>
    </xf>
    <xf numFmtId="0" fontId="6" fillId="0" borderId="0" xfId="2" applyFill="1" applyAlignment="1">
      <alignment horizontal="left" wrapText="1"/>
    </xf>
    <xf numFmtId="0" fontId="1" fillId="0" borderId="2" xfId="1" applyFont="1" applyFill="1" applyBorder="1" applyAlignment="1" applyProtection="1">
      <alignment vertical="center" wrapText="1"/>
    </xf>
    <xf numFmtId="0" fontId="1" fillId="0" borderId="2" xfId="1" applyFont="1" applyFill="1" applyBorder="1" applyAlignment="1" applyProtection="1">
      <alignment vertical="center"/>
    </xf>
    <xf numFmtId="0" fontId="2" fillId="0" borderId="7" xfId="1" applyFont="1" applyFill="1" applyBorder="1" applyAlignment="1" applyProtection="1">
      <alignment horizontal="left" vertical="center"/>
      <protection locked="0"/>
    </xf>
    <xf numFmtId="0" fontId="1" fillId="5" borderId="7" xfId="1" applyFont="1" applyFill="1" applyBorder="1" applyAlignment="1" applyProtection="1">
      <alignment horizontal="left" vertical="center"/>
      <protection locked="0"/>
    </xf>
    <xf numFmtId="0" fontId="1" fillId="3" borderId="7" xfId="1" applyFont="1" applyFill="1" applyBorder="1" applyAlignment="1" applyProtection="1">
      <alignment horizontal="left" vertical="center"/>
      <protection locked="0"/>
    </xf>
    <xf numFmtId="0" fontId="2" fillId="0" borderId="9" xfId="1" applyFont="1" applyFill="1" applyBorder="1" applyAlignment="1" applyProtection="1">
      <alignment horizontal="left" vertical="center"/>
      <protection locked="0"/>
    </xf>
    <xf numFmtId="0" fontId="1" fillId="5" borderId="9" xfId="1" applyFont="1" applyFill="1" applyBorder="1" applyAlignment="1" applyProtection="1">
      <alignment horizontal="left" vertical="center"/>
      <protection locked="0"/>
    </xf>
    <xf numFmtId="0" fontId="1" fillId="0" borderId="9" xfId="1" applyFont="1" applyFill="1" applyBorder="1" applyAlignment="1" applyProtection="1">
      <alignment horizontal="left" vertical="center"/>
      <protection locked="0"/>
    </xf>
    <xf numFmtId="0" fontId="1" fillId="0" borderId="0" xfId="1" applyFont="1" applyBorder="1" applyProtection="1">
      <protection locked="0"/>
    </xf>
    <xf numFmtId="49" fontId="1" fillId="2" borderId="8" xfId="0" applyNumberFormat="1" applyFont="1" applyFill="1" applyBorder="1"/>
    <xf numFmtId="0" fontId="1" fillId="2" borderId="8" xfId="0" applyFont="1" applyFill="1" applyBorder="1"/>
    <xf numFmtId="0" fontId="1" fillId="0" borderId="0" xfId="1" applyFont="1" applyBorder="1" applyAlignment="1" applyProtection="1">
      <protection locked="0"/>
    </xf>
    <xf numFmtId="0" fontId="1" fillId="2" borderId="10" xfId="0" applyFont="1" applyFill="1" applyBorder="1"/>
    <xf numFmtId="0" fontId="1" fillId="0" borderId="0" xfId="0" applyFont="1" applyFill="1" applyBorder="1"/>
    <xf numFmtId="0" fontId="1" fillId="0" borderId="1" xfId="1" applyFont="1" applyFill="1" applyBorder="1" applyAlignment="1" applyProtection="1">
      <protection locked="0"/>
    </xf>
    <xf numFmtId="0" fontId="1" fillId="0" borderId="7" xfId="0" applyFont="1" applyBorder="1" applyAlignment="1">
      <alignment wrapText="1"/>
    </xf>
    <xf numFmtId="0" fontId="1" fillId="0" borderId="9" xfId="0" applyFont="1" applyBorder="1" applyAlignment="1">
      <alignment wrapText="1"/>
    </xf>
    <xf numFmtId="0" fontId="1" fillId="2" borderId="13" xfId="1" applyFont="1" applyFill="1" applyBorder="1" applyProtection="1">
      <protection locked="0"/>
    </xf>
    <xf numFmtId="49" fontId="1" fillId="2" borderId="8" xfId="0" applyNumberFormat="1" applyFont="1" applyFill="1" applyBorder="1" applyAlignment="1">
      <alignment wrapText="1"/>
    </xf>
    <xf numFmtId="0" fontId="1" fillId="0" borderId="1" xfId="1" applyFont="1" applyFill="1" applyBorder="1" applyAlignment="1" applyProtection="1">
      <alignment wrapText="1"/>
      <protection locked="0"/>
    </xf>
    <xf numFmtId="0" fontId="1" fillId="2" borderId="8" xfId="0" applyFont="1" applyFill="1" applyBorder="1" applyAlignment="1">
      <alignment wrapText="1"/>
    </xf>
    <xf numFmtId="0" fontId="1" fillId="0" borderId="2" xfId="0" applyFont="1" applyFill="1" applyBorder="1"/>
    <xf numFmtId="0" fontId="1" fillId="0" borderId="7" xfId="0" applyFont="1" applyBorder="1" applyAlignment="1">
      <alignment horizontal="left" wrapText="1"/>
    </xf>
    <xf numFmtId="0" fontId="1" fillId="2" borderId="8" xfId="0" applyFont="1" applyFill="1" applyBorder="1" applyAlignment="1">
      <alignment horizontal="center" wrapText="1"/>
    </xf>
    <xf numFmtId="0" fontId="1" fillId="2" borderId="7" xfId="0" applyFont="1" applyFill="1" applyBorder="1" applyAlignment="1">
      <alignment horizontal="center" wrapText="1"/>
    </xf>
    <xf numFmtId="0" fontId="1" fillId="2" borderId="9" xfId="0" applyFont="1" applyFill="1" applyBorder="1" applyAlignment="1">
      <alignment horizontal="center" wrapText="1"/>
    </xf>
    <xf numFmtId="0" fontId="1" fillId="0" borderId="8" xfId="0" applyFont="1" applyBorder="1" applyAlignment="1">
      <alignment horizontal="center" wrapText="1"/>
    </xf>
    <xf numFmtId="0" fontId="1" fillId="0" borderId="7" xfId="0" applyFont="1" applyBorder="1" applyAlignment="1">
      <alignment horizontal="center" wrapText="1"/>
    </xf>
    <xf numFmtId="0" fontId="1" fillId="0" borderId="0" xfId="0" applyFont="1" applyBorder="1"/>
    <xf numFmtId="0" fontId="1" fillId="0" borderId="10" xfId="0" applyFont="1" applyBorder="1" applyAlignment="1">
      <alignment wrapText="1"/>
    </xf>
    <xf numFmtId="0" fontId="1" fillId="0" borderId="12" xfId="0" applyFont="1" applyBorder="1" applyAlignment="1">
      <alignment horizontal="center" wrapText="1"/>
    </xf>
    <xf numFmtId="0" fontId="1" fillId="2" borderId="12" xfId="0" applyFont="1" applyFill="1" applyBorder="1" applyAlignment="1">
      <alignment horizontal="center" wrapText="1"/>
    </xf>
    <xf numFmtId="0" fontId="1" fillId="6" borderId="11" xfId="0" applyFont="1" applyFill="1" applyBorder="1" applyAlignment="1">
      <alignment horizontal="center" wrapText="1"/>
    </xf>
    <xf numFmtId="0" fontId="1" fillId="0" borderId="3" xfId="0" applyFont="1" applyFill="1" applyBorder="1"/>
    <xf numFmtId="0" fontId="1" fillId="0" borderId="4" xfId="0" applyFont="1" applyFill="1" applyBorder="1"/>
    <xf numFmtId="49" fontId="1" fillId="2" borderId="8" xfId="0" applyNumberFormat="1" applyFont="1" applyFill="1" applyBorder="1" applyAlignment="1">
      <alignment horizontal="left" vertical="center" wrapText="1"/>
    </xf>
    <xf numFmtId="49" fontId="1" fillId="0" borderId="7" xfId="0" applyNumberFormat="1" applyFont="1" applyFill="1" applyBorder="1" applyAlignment="1">
      <alignment horizontal="left" vertical="center" wrapText="1"/>
    </xf>
    <xf numFmtId="49" fontId="1" fillId="0" borderId="9" xfId="0" applyNumberFormat="1" applyFont="1" applyFill="1" applyBorder="1" applyAlignment="1">
      <alignment horizontal="left" vertical="center" wrapText="1"/>
    </xf>
    <xf numFmtId="49" fontId="1" fillId="2" borderId="7" xfId="0" applyNumberFormat="1" applyFont="1" applyFill="1" applyBorder="1" applyAlignment="1">
      <alignment horizontal="center" vertical="center" wrapText="1"/>
    </xf>
    <xf numFmtId="0" fontId="1" fillId="2" borderId="9" xfId="0" applyNumberFormat="1" applyFont="1" applyFill="1" applyBorder="1" applyAlignment="1">
      <alignment horizontal="center" vertical="center" wrapText="1"/>
    </xf>
    <xf numFmtId="0" fontId="1" fillId="2" borderId="8" xfId="1" applyFont="1" applyFill="1" applyBorder="1" applyAlignment="1" applyProtection="1">
      <alignment horizontal="left" vertical="center"/>
      <protection locked="0"/>
    </xf>
    <xf numFmtId="0" fontId="11" fillId="0" borderId="0" xfId="1" applyFont="1" applyFill="1" applyBorder="1" applyAlignment="1" applyProtection="1">
      <alignment horizontal="left" vertical="center"/>
      <protection locked="0"/>
    </xf>
    <xf numFmtId="0" fontId="11" fillId="0" borderId="0" xfId="0" applyFont="1" applyFill="1" applyBorder="1"/>
    <xf numFmtId="0" fontId="1" fillId="2" borderId="8" xfId="0" applyFont="1" applyFill="1" applyBorder="1" applyAlignment="1">
      <alignment horizontal="center"/>
    </xf>
    <xf numFmtId="0" fontId="1" fillId="2" borderId="7" xfId="0" applyFont="1" applyFill="1" applyBorder="1" applyAlignment="1">
      <alignment horizontal="center"/>
    </xf>
    <xf numFmtId="0" fontId="1" fillId="2" borderId="9" xfId="0" applyFont="1" applyFill="1" applyBorder="1" applyAlignment="1">
      <alignment horizontal="center"/>
    </xf>
    <xf numFmtId="0" fontId="1" fillId="0" borderId="7" xfId="0" applyFont="1" applyFill="1" applyBorder="1" applyAlignment="1">
      <alignment horizontal="center" vertical="center"/>
    </xf>
    <xf numFmtId="0" fontId="12" fillId="0" borderId="7" xfId="2" applyFont="1" applyBorder="1" applyAlignment="1">
      <alignment wrapText="1"/>
    </xf>
    <xf numFmtId="0" fontId="12" fillId="0" borderId="9" xfId="2" applyFont="1" applyBorder="1" applyAlignment="1">
      <alignment wrapText="1"/>
    </xf>
    <xf numFmtId="0" fontId="12" fillId="0" borderId="7" xfId="2" applyFont="1" applyBorder="1" applyAlignment="1">
      <alignment horizontal="center" wrapText="1"/>
    </xf>
    <xf numFmtId="0" fontId="12" fillId="0" borderId="9" xfId="2" applyFont="1" applyBorder="1" applyAlignment="1">
      <alignment horizontal="center" wrapText="1"/>
    </xf>
    <xf numFmtId="0" fontId="1" fillId="2" borderId="13" xfId="1" applyFont="1" applyFill="1" applyBorder="1" applyAlignment="1" applyProtection="1">
      <alignment wrapText="1"/>
      <protection locked="0"/>
    </xf>
    <xf numFmtId="0" fontId="12" fillId="0" borderId="9" xfId="1" applyFont="1" applyBorder="1" applyAlignment="1" applyProtection="1">
      <alignment vertical="center" wrapText="1"/>
      <protection locked="0"/>
    </xf>
    <xf numFmtId="0" fontId="12" fillId="0" borderId="9" xfId="1" applyFont="1" applyBorder="1" applyAlignment="1" applyProtection="1">
      <alignment wrapText="1"/>
      <protection locked="0"/>
    </xf>
    <xf numFmtId="0" fontId="1" fillId="0" borderId="2" xfId="1" applyFont="1" applyBorder="1" applyProtection="1">
      <protection locked="0"/>
    </xf>
    <xf numFmtId="49" fontId="1" fillId="2" borderId="19" xfId="0" applyNumberFormat="1" applyFont="1" applyFill="1" applyBorder="1"/>
    <xf numFmtId="0" fontId="1" fillId="0" borderId="6" xfId="1" applyFont="1" applyBorder="1" applyProtection="1">
      <protection locked="0"/>
    </xf>
    <xf numFmtId="0" fontId="1" fillId="0" borderId="4" xfId="1" applyFont="1" applyBorder="1" applyAlignment="1" applyProtection="1">
      <alignment horizontal="left"/>
      <protection locked="0"/>
    </xf>
    <xf numFmtId="0" fontId="14" fillId="0" borderId="0" xfId="1" applyFont="1" applyFill="1" applyBorder="1" applyAlignment="1" applyProtection="1">
      <alignment vertical="top" wrapText="1"/>
      <protection locked="0"/>
    </xf>
    <xf numFmtId="0" fontId="1" fillId="0" borderId="0" xfId="1" applyFont="1" applyFill="1" applyBorder="1" applyAlignment="1" applyProtection="1">
      <alignment vertical="top"/>
      <protection locked="0"/>
    </xf>
    <xf numFmtId="0" fontId="15" fillId="0" borderId="2" xfId="0" applyFont="1" applyFill="1" applyBorder="1" applyAlignment="1">
      <alignment wrapText="1"/>
    </xf>
    <xf numFmtId="0" fontId="15" fillId="0" borderId="9" xfId="0" applyFont="1" applyFill="1" applyBorder="1" applyAlignment="1">
      <alignment wrapText="1"/>
    </xf>
    <xf numFmtId="0" fontId="1" fillId="5" borderId="8" xfId="0" applyFont="1" applyFill="1" applyBorder="1" applyAlignment="1">
      <alignment horizontal="center" vertical="center"/>
    </xf>
    <xf numFmtId="0" fontId="1" fillId="5" borderId="9" xfId="0" applyFont="1" applyFill="1" applyBorder="1" applyAlignment="1">
      <alignment horizontal="center" vertical="center"/>
    </xf>
    <xf numFmtId="0" fontId="1" fillId="2" borderId="18" xfId="1" applyFont="1" applyFill="1" applyBorder="1" applyAlignment="1" applyProtection="1">
      <alignment horizontal="left" vertical="center"/>
      <protection locked="0"/>
    </xf>
    <xf numFmtId="0" fontId="1" fillId="2" borderId="17" xfId="1" applyFont="1" applyFill="1" applyBorder="1" applyAlignment="1" applyProtection="1">
      <alignment horizontal="left" vertical="center"/>
      <protection locked="0"/>
    </xf>
    <xf numFmtId="0" fontId="1" fillId="5" borderId="20" xfId="1" applyFont="1" applyFill="1" applyBorder="1" applyAlignment="1" applyProtection="1">
      <alignment horizontal="left" vertical="center"/>
      <protection locked="0"/>
    </xf>
    <xf numFmtId="0" fontId="1" fillId="0" borderId="22" xfId="1" applyFont="1" applyFill="1" applyBorder="1" applyAlignment="1" applyProtection="1">
      <alignment horizontal="left" vertical="center"/>
      <protection locked="0"/>
    </xf>
    <xf numFmtId="0" fontId="1" fillId="0" borderId="24" xfId="0" applyFont="1" applyFill="1" applyBorder="1"/>
    <xf numFmtId="0" fontId="4" fillId="4" borderId="21" xfId="1" applyFont="1" applyFill="1" applyBorder="1" applyAlignment="1" applyProtection="1">
      <alignment horizontal="left" vertical="top"/>
      <protection locked="0"/>
    </xf>
    <xf numFmtId="0" fontId="4" fillId="4" borderId="25" xfId="1" applyFont="1" applyFill="1" applyBorder="1" applyAlignment="1" applyProtection="1">
      <alignment horizontal="left" vertical="top"/>
      <protection locked="0"/>
    </xf>
    <xf numFmtId="0" fontId="4" fillId="4" borderId="26" xfId="1" applyFont="1" applyFill="1" applyBorder="1" applyAlignment="1" applyProtection="1">
      <alignment horizontal="left" vertical="top"/>
      <protection locked="0"/>
    </xf>
    <xf numFmtId="0" fontId="1" fillId="2" borderId="27" xfId="1" applyFont="1" applyFill="1" applyBorder="1" applyAlignment="1" applyProtection="1">
      <alignment horizontal="left" vertical="center"/>
      <protection locked="0"/>
    </xf>
    <xf numFmtId="0" fontId="1" fillId="5" borderId="7" xfId="0" applyFont="1" applyFill="1" applyBorder="1" applyAlignment="1">
      <alignment horizontal="center" vertical="center"/>
    </xf>
    <xf numFmtId="0" fontId="1" fillId="0" borderId="7" xfId="0" applyFont="1" applyFill="1" applyBorder="1" applyAlignment="1">
      <alignment horizontal="center"/>
    </xf>
    <xf numFmtId="0" fontId="1" fillId="0" borderId="9"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0" fontId="1" fillId="0" borderId="4" xfId="0" applyFont="1" applyFill="1" applyBorder="1" applyAlignment="1">
      <alignment horizontal="center"/>
    </xf>
    <xf numFmtId="0" fontId="1" fillId="0" borderId="10" xfId="0" applyFont="1" applyFill="1" applyBorder="1" applyAlignment="1">
      <alignment horizontal="center" vertical="center"/>
    </xf>
    <xf numFmtId="164" fontId="1" fillId="5" borderId="0" xfId="1" applyNumberFormat="1" applyFont="1" applyFill="1" applyBorder="1" applyAlignment="1" applyProtection="1">
      <alignment horizontal="left"/>
      <protection locked="0"/>
    </xf>
    <xf numFmtId="0" fontId="1" fillId="0" borderId="8" xfId="0" applyFont="1" applyFill="1" applyBorder="1" applyAlignment="1">
      <alignment horizontal="center" vertical="center"/>
    </xf>
    <xf numFmtId="0" fontId="1" fillId="0" borderId="9" xfId="0" applyFont="1" applyFill="1" applyBorder="1" applyAlignment="1">
      <alignment horizontal="center" vertical="center"/>
    </xf>
    <xf numFmtId="0" fontId="1" fillId="5" borderId="23" xfId="1" applyFont="1" applyFill="1" applyBorder="1" applyAlignment="1" applyProtection="1">
      <alignment horizontal="left" vertical="top"/>
      <protection locked="0"/>
    </xf>
    <xf numFmtId="0" fontId="13" fillId="7" borderId="14" xfId="1" applyFont="1" applyFill="1" applyBorder="1" applyAlignment="1" applyProtection="1">
      <alignment horizontal="left" vertical="center"/>
      <protection locked="0"/>
    </xf>
    <xf numFmtId="0" fontId="13" fillId="7" borderId="15" xfId="1" applyFont="1" applyFill="1" applyBorder="1" applyAlignment="1" applyProtection="1">
      <alignment horizontal="left" vertical="center"/>
      <protection locked="0"/>
    </xf>
    <xf numFmtId="0" fontId="13" fillId="7" borderId="16" xfId="1" applyFont="1" applyFill="1" applyBorder="1" applyAlignment="1" applyProtection="1">
      <alignment horizontal="left" vertical="center"/>
      <protection locked="0"/>
    </xf>
    <xf numFmtId="0" fontId="13" fillId="7" borderId="14" xfId="0" applyFont="1" applyFill="1" applyBorder="1" applyAlignment="1">
      <alignment horizontal="left" vertical="center"/>
    </xf>
    <xf numFmtId="0" fontId="13" fillId="7" borderId="15" xfId="0" applyFont="1" applyFill="1" applyBorder="1" applyAlignment="1">
      <alignment horizontal="left" vertical="center"/>
    </xf>
    <xf numFmtId="0" fontId="13" fillId="7" borderId="16" xfId="0" applyFont="1" applyFill="1" applyBorder="1" applyAlignment="1">
      <alignment horizontal="left" vertical="center"/>
    </xf>
    <xf numFmtId="0" fontId="13" fillId="7" borderId="14" xfId="1" applyFont="1" applyFill="1" applyBorder="1" applyAlignment="1" applyProtection="1">
      <protection locked="0"/>
    </xf>
    <xf numFmtId="0" fontId="13" fillId="7" borderId="16" xfId="1" applyFont="1" applyFill="1" applyBorder="1" applyAlignment="1" applyProtection="1">
      <protection locked="0"/>
    </xf>
    <xf numFmtId="0" fontId="13" fillId="7" borderId="5" xfId="1" applyFont="1" applyFill="1" applyBorder="1" applyAlignment="1" applyProtection="1">
      <alignment horizontal="left" vertical="center"/>
      <protection locked="0"/>
    </xf>
    <xf numFmtId="0" fontId="13" fillId="7" borderId="6" xfId="1" applyFont="1" applyFill="1" applyBorder="1" applyAlignment="1" applyProtection="1">
      <alignment horizontal="left" vertical="center"/>
      <protection locked="0"/>
    </xf>
    <xf numFmtId="0" fontId="1" fillId="2" borderId="17" xfId="0" applyFont="1" applyFill="1" applyBorder="1" applyAlignment="1">
      <alignment horizontal="left" vertical="center" wrapText="1"/>
    </xf>
    <xf numFmtId="0" fontId="1" fillId="2" borderId="18" xfId="0" applyFont="1" applyFill="1" applyBorder="1" applyAlignment="1">
      <alignment horizontal="left" vertical="center" wrapText="1"/>
    </xf>
  </cellXfs>
  <cellStyles count="3">
    <cellStyle name="Normal" xfId="0" builtinId="0"/>
    <cellStyle name="Normal 2" xfId="2"/>
    <cellStyle name="Normal 2 2" xfId="1"/>
  </cellStyles>
  <dxfs count="0"/>
  <tableStyles count="0" defaultTableStyle="TableStyleMedium2" defaultPivotStyle="PivotStyleLight16"/>
  <colors>
    <mruColors>
      <color rgb="FF00FF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293592</xdr:colOff>
      <xdr:row>0</xdr:row>
      <xdr:rowOff>124386</xdr:rowOff>
    </xdr:from>
    <xdr:to>
      <xdr:col>2</xdr:col>
      <xdr:colOff>1684802</xdr:colOff>
      <xdr:row>0</xdr:row>
      <xdr:rowOff>467285</xdr:rowOff>
    </xdr:to>
    <xdr:sp macro="[0]!CheckEmptyCells" textlink="">
      <xdr:nvSpPr>
        <xdr:cNvPr id="3" name="Rectangle 2">
          <a:extLst>
            <a:ext uri="{FF2B5EF4-FFF2-40B4-BE49-F238E27FC236}">
              <a16:creationId xmlns:a16="http://schemas.microsoft.com/office/drawing/2014/main" id="{00000000-0008-0000-0700-000004000000}"/>
            </a:ext>
          </a:extLst>
        </xdr:cNvPr>
        <xdr:cNvSpPr/>
      </xdr:nvSpPr>
      <xdr:spPr>
        <a:xfrm>
          <a:off x="4760817" y="124386"/>
          <a:ext cx="1391210" cy="342899"/>
        </a:xfrm>
        <a:prstGeom prst="rect">
          <a:avLst/>
        </a:prstGeom>
        <a:solidFill>
          <a:srgbClr val="00FF00"/>
        </a:solidFill>
        <a:scene3d>
          <a:camera prst="orthographicFront"/>
          <a:lightRig rig="threePt" dir="t"/>
        </a:scene3d>
        <a:sp3d>
          <a:bevelT w="165100" prst="coolSlan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nchorCtr="0"/>
        <a:lstStyle/>
        <a:p>
          <a:pPr algn="ctr"/>
          <a:r>
            <a:rPr lang="en-US" sz="1100" b="1" u="none">
              <a:solidFill>
                <a:schemeClr val="tx1"/>
              </a:solidFill>
            </a:rPr>
            <a:t>Generate Test Data</a:t>
          </a:r>
        </a:p>
      </xdr:txBody>
    </xdr:sp>
    <xdr:clientData/>
  </xdr:twoCellAnchor>
  <mc:AlternateContent xmlns:mc="http://schemas.openxmlformats.org/markup-compatibility/2006">
    <mc:Choice xmlns:a14="http://schemas.microsoft.com/office/drawing/2010/main" Requires="a14">
      <xdr:twoCellAnchor editAs="oneCell">
        <xdr:from>
          <xdr:col>1</xdr:col>
          <xdr:colOff>85725</xdr:colOff>
          <xdr:row>32</xdr:row>
          <xdr:rowOff>76200</xdr:rowOff>
        </xdr:from>
        <xdr:to>
          <xdr:col>1</xdr:col>
          <xdr:colOff>2343150</xdr:colOff>
          <xdr:row>32</xdr:row>
          <xdr:rowOff>390525</xdr:rowOff>
        </xdr:to>
        <xdr:sp macro="" textlink="">
          <xdr:nvSpPr>
            <xdr:cNvPr id="1029" name="ComboBox1"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33</xdr:row>
          <xdr:rowOff>104775</xdr:rowOff>
        </xdr:from>
        <xdr:to>
          <xdr:col>1</xdr:col>
          <xdr:colOff>2362200</xdr:colOff>
          <xdr:row>33</xdr:row>
          <xdr:rowOff>381000</xdr:rowOff>
        </xdr:to>
        <xdr:sp macro="" textlink="">
          <xdr:nvSpPr>
            <xdr:cNvPr id="1030" name="ComboBox2"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38100</xdr:colOff>
      <xdr:row>0</xdr:row>
      <xdr:rowOff>38100</xdr:rowOff>
    </xdr:from>
    <xdr:to>
      <xdr:col>5</xdr:col>
      <xdr:colOff>2886075</xdr:colOff>
      <xdr:row>7</xdr:row>
      <xdr:rowOff>180975</xdr:rowOff>
    </xdr:to>
    <xdr:sp macro="" textlink="">
      <xdr:nvSpPr>
        <xdr:cNvPr id="2" name="TextBox 1"/>
        <xdr:cNvSpPr txBox="1"/>
      </xdr:nvSpPr>
      <xdr:spPr>
        <a:xfrm>
          <a:off x="6343650" y="38100"/>
          <a:ext cx="5876925" cy="2638425"/>
        </a:xfrm>
        <a:prstGeom prst="rect">
          <a:avLst/>
        </a:prstGeom>
        <a:solidFill>
          <a:schemeClr val="lt1"/>
        </a:solidFill>
        <a:ln w="9525" cmpd="sng">
          <a:solidFill>
            <a:srgbClr val="00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t>INSTRUCTIONS!</a:t>
          </a:r>
        </a:p>
        <a:p>
          <a:r>
            <a:rPr lang="en-US" sz="1050"/>
            <a:t>1. Complete the required files in each table.</a:t>
          </a:r>
        </a:p>
        <a:p>
          <a:r>
            <a:rPr lang="en-US" sz="1050"/>
            <a:t>2. For Import Containers, execute the provided query.</a:t>
          </a:r>
        </a:p>
        <a:p>
          <a:r>
            <a:rPr lang="en-US" sz="1050"/>
            <a:t>3. Paste the query result into the import worksheet available in this workbook.</a:t>
          </a:r>
        </a:p>
        <a:p>
          <a:r>
            <a:rPr lang="en-US" sz="1050"/>
            <a:t>4. Click the "Generate Test Data" button to create the necessary data and templates for the following steps.</a:t>
          </a:r>
        </a:p>
        <a:p>
          <a:r>
            <a:rPr lang="en-US" sz="1050"/>
            <a:t>5. Navigate to the add trucking company worksheet within this workbook and copy the generated query. Run the query on the database. Perform these steps in sequence: add trucking company, add tractor, link tractor to company, add driver, link driver to company.</a:t>
          </a:r>
        </a:p>
        <a:p>
          <a:r>
            <a:rPr lang="en-US" sz="1050"/>
            <a:t>6. Open Postman and execute the preadvise collection using the generated CSV file. The file name is identical to the container number prefix and is located in the same folder as this workbook.</a:t>
          </a:r>
        </a:p>
        <a:p>
          <a:r>
            <a:rPr lang="en-US" sz="1050"/>
            <a:t>7. Execute the batch appointment collection using the generated CSV file. The file name is specified in cell B40 of this worksheet and is located in the same folder as this workbook.</a:t>
          </a:r>
        </a:p>
        <a:p>
          <a:r>
            <a:rPr lang="en-US" sz="1050"/>
            <a:t>8. The Gate Lane and Report files required for Katalon must also be generated and stored in the same folder as this workbook. The number of lanes determines the files generated.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56"/>
  <sheetViews>
    <sheetView tabSelected="1" zoomScaleNormal="100" workbookViewId="0">
      <selection activeCell="E45" sqref="E45"/>
    </sheetView>
  </sheetViews>
  <sheetFormatPr defaultRowHeight="15.75" x14ac:dyDescent="0.25"/>
  <cols>
    <col min="1" max="1" width="29.5703125" style="43" customWidth="1"/>
    <col min="2" max="2" width="37.42578125" style="43" customWidth="1"/>
    <col min="3" max="3" width="27.5703125" style="43" customWidth="1"/>
    <col min="4" max="4" width="26.5703125" style="58" customWidth="1"/>
    <col min="5" max="5" width="18.85546875" style="58" customWidth="1"/>
    <col min="6" max="6" width="44" style="58" customWidth="1"/>
    <col min="7" max="7" width="21.7109375" style="58" customWidth="1"/>
    <col min="8" max="9" width="9.140625" style="58"/>
    <col min="10" max="10" width="27" style="58" customWidth="1"/>
    <col min="11" max="11" width="27.42578125" style="58" customWidth="1"/>
    <col min="12" max="16384" width="9.140625" style="58"/>
  </cols>
  <sheetData>
    <row r="1" spans="1:15" s="38" customFormat="1" ht="45" customHeight="1" thickBot="1" x14ac:dyDescent="0.3">
      <c r="A1" s="122" t="s">
        <v>37</v>
      </c>
      <c r="B1" s="123"/>
      <c r="D1" s="2"/>
      <c r="E1" s="88"/>
      <c r="F1" s="89"/>
      <c r="G1" s="89"/>
      <c r="H1" s="3"/>
      <c r="I1" s="3"/>
    </row>
    <row r="2" spans="1:15" s="38" customFormat="1" ht="28.5" customHeight="1" x14ac:dyDescent="0.25">
      <c r="A2" s="85" t="s">
        <v>66</v>
      </c>
      <c r="B2" s="86" t="s">
        <v>84</v>
      </c>
      <c r="E2" s="89"/>
      <c r="F2" s="89"/>
      <c r="G2" s="89"/>
      <c r="H2" s="2"/>
      <c r="I2" s="2"/>
      <c r="J2" s="2"/>
    </row>
    <row r="3" spans="1:15" s="38" customFormat="1" ht="28.5" customHeight="1" x14ac:dyDescent="0.25">
      <c r="A3" s="39" t="s">
        <v>67</v>
      </c>
      <c r="B3" s="84" t="s">
        <v>84</v>
      </c>
      <c r="E3" s="89"/>
      <c r="F3" s="89"/>
      <c r="G3" s="89"/>
      <c r="H3" s="2"/>
      <c r="I3" s="2"/>
      <c r="J3" s="2"/>
    </row>
    <row r="4" spans="1:15" s="38" customFormat="1" ht="28.5" customHeight="1" x14ac:dyDescent="0.25">
      <c r="A4" s="40" t="s">
        <v>32</v>
      </c>
      <c r="B4" s="84" t="s">
        <v>84</v>
      </c>
      <c r="E4" s="89"/>
      <c r="F4" s="89"/>
      <c r="G4" s="89"/>
      <c r="H4" s="2"/>
      <c r="I4" s="2"/>
      <c r="J4" s="2"/>
    </row>
    <row r="5" spans="1:15" s="38" customFormat="1" ht="28.5" customHeight="1" x14ac:dyDescent="0.25">
      <c r="A5" s="40" t="s">
        <v>33</v>
      </c>
      <c r="B5" s="84" t="s">
        <v>84</v>
      </c>
      <c r="E5" s="89"/>
      <c r="F5" s="89"/>
      <c r="G5" s="89"/>
      <c r="H5" s="2"/>
      <c r="I5" s="2"/>
      <c r="J5" s="2"/>
    </row>
    <row r="6" spans="1:15" s="38" customFormat="1" ht="18.75" customHeight="1" x14ac:dyDescent="0.25">
      <c r="A6" s="40" t="s">
        <v>34</v>
      </c>
      <c r="B6" s="84" t="s">
        <v>84</v>
      </c>
      <c r="E6" s="89"/>
      <c r="F6" s="89"/>
      <c r="G6" s="89"/>
      <c r="H6" s="2"/>
      <c r="I6" s="2"/>
      <c r="J6" s="2"/>
      <c r="K6" s="41"/>
      <c r="L6" s="41"/>
      <c r="M6" s="41"/>
      <c r="N6" s="41"/>
      <c r="O6" s="41"/>
    </row>
    <row r="7" spans="1:15" s="38" customFormat="1" ht="18.75" customHeight="1" x14ac:dyDescent="0.25">
      <c r="A7" s="40" t="s">
        <v>35</v>
      </c>
      <c r="B7" s="84" t="s">
        <v>84</v>
      </c>
      <c r="E7" s="89"/>
      <c r="F7" s="89"/>
      <c r="G7" s="89"/>
      <c r="H7" s="2"/>
      <c r="I7" s="2"/>
      <c r="J7" s="2"/>
      <c r="K7" s="41"/>
      <c r="L7" s="41"/>
      <c r="M7" s="41"/>
      <c r="N7" s="41"/>
      <c r="O7" s="41"/>
    </row>
    <row r="8" spans="1:15" s="38" customFormat="1" ht="18.75" customHeight="1" thickBot="1" x14ac:dyDescent="0.3">
      <c r="A8" s="42" t="s">
        <v>36</v>
      </c>
      <c r="B8" s="87">
        <v>20</v>
      </c>
      <c r="E8" s="89"/>
      <c r="F8" s="89"/>
      <c r="G8" s="89"/>
      <c r="H8" s="43"/>
      <c r="I8" s="43"/>
      <c r="J8" s="43"/>
      <c r="K8" s="41"/>
      <c r="L8" s="41"/>
      <c r="M8" s="41"/>
      <c r="N8" s="41"/>
      <c r="O8" s="41"/>
    </row>
    <row r="9" spans="1:15" s="38" customFormat="1" ht="18.75" customHeight="1" x14ac:dyDescent="0.25">
      <c r="F9" s="43"/>
      <c r="G9" s="43"/>
      <c r="H9" s="43"/>
      <c r="I9" s="43"/>
      <c r="J9" s="43"/>
      <c r="K9" s="41"/>
      <c r="L9" s="41"/>
      <c r="M9" s="41"/>
      <c r="N9" s="41"/>
      <c r="O9" s="41"/>
    </row>
    <row r="10" spans="1:15" s="38" customFormat="1" ht="18.75" customHeight="1" thickBot="1" x14ac:dyDescent="0.3">
      <c r="F10" s="43"/>
      <c r="G10" s="43"/>
      <c r="H10" s="43"/>
      <c r="I10" s="43"/>
      <c r="J10" s="43"/>
      <c r="K10" s="41"/>
      <c r="L10" s="41"/>
      <c r="M10" s="41"/>
      <c r="N10" s="41"/>
      <c r="O10" s="41"/>
    </row>
    <row r="11" spans="1:15" s="38" customFormat="1" ht="18.75" customHeight="1" x14ac:dyDescent="0.3">
      <c r="A11" s="114" t="s">
        <v>38</v>
      </c>
      <c r="B11" s="115"/>
      <c r="C11" s="115"/>
      <c r="D11" s="116"/>
      <c r="E11" s="120" t="s">
        <v>61</v>
      </c>
      <c r="F11" s="121"/>
      <c r="J11" s="44"/>
      <c r="K11" s="41"/>
      <c r="L11" s="41"/>
      <c r="M11" s="41"/>
      <c r="N11" s="41"/>
      <c r="O11" s="41"/>
    </row>
    <row r="12" spans="1:15" s="38" customFormat="1" ht="100.5" customHeight="1" x14ac:dyDescent="0.25">
      <c r="A12" s="48" t="s">
        <v>14</v>
      </c>
      <c r="B12" s="45" t="s">
        <v>15</v>
      </c>
      <c r="C12" s="77"/>
      <c r="D12" s="78"/>
      <c r="E12" s="81" t="s">
        <v>55</v>
      </c>
      <c r="F12" s="82" t="s">
        <v>56</v>
      </c>
      <c r="J12" s="49"/>
      <c r="K12" s="41"/>
      <c r="L12" s="41"/>
      <c r="M12" s="41"/>
      <c r="N12" s="41"/>
      <c r="O12" s="41"/>
    </row>
    <row r="13" spans="1:15" s="38" customFormat="1" ht="84" customHeight="1" x14ac:dyDescent="0.25">
      <c r="A13" s="50" t="s">
        <v>16</v>
      </c>
      <c r="B13" s="45" t="s">
        <v>13</v>
      </c>
      <c r="C13" s="45"/>
      <c r="D13" s="46"/>
      <c r="E13" s="47" t="s">
        <v>57</v>
      </c>
      <c r="F13" s="83" t="s">
        <v>58</v>
      </c>
      <c r="J13" s="43"/>
      <c r="K13" s="41"/>
      <c r="L13" s="41"/>
      <c r="M13" s="41"/>
      <c r="N13" s="41"/>
      <c r="O13" s="41"/>
    </row>
    <row r="14" spans="1:15" s="38" customFormat="1" ht="32.25" customHeight="1" x14ac:dyDescent="0.25">
      <c r="A14" s="50" t="s">
        <v>17</v>
      </c>
      <c r="B14" s="52" t="s">
        <v>105</v>
      </c>
      <c r="C14" s="77"/>
      <c r="D14" s="78"/>
      <c r="E14" s="43"/>
      <c r="F14" s="51"/>
      <c r="J14" s="43"/>
      <c r="K14" s="41"/>
      <c r="L14" s="41"/>
      <c r="M14" s="41"/>
      <c r="N14" s="41"/>
      <c r="O14" s="41"/>
    </row>
    <row r="15" spans="1:15" s="38" customFormat="1" ht="33" customHeight="1" x14ac:dyDescent="0.25">
      <c r="A15" s="50" t="s">
        <v>18</v>
      </c>
      <c r="B15" s="52" t="s">
        <v>19</v>
      </c>
      <c r="C15" s="77"/>
      <c r="D15" s="78"/>
      <c r="E15" s="43"/>
      <c r="F15" s="90" t="s">
        <v>73</v>
      </c>
      <c r="J15" s="43"/>
      <c r="K15" s="41"/>
      <c r="L15" s="41"/>
      <c r="M15" s="41"/>
      <c r="N15" s="41"/>
      <c r="O15" s="41"/>
    </row>
    <row r="16" spans="1:15" s="38" customFormat="1" ht="18.75" customHeight="1" x14ac:dyDescent="0.25">
      <c r="A16" s="50" t="s">
        <v>20</v>
      </c>
      <c r="B16" s="52" t="s">
        <v>21</v>
      </c>
      <c r="C16" s="77"/>
      <c r="D16" s="78"/>
      <c r="E16" s="43"/>
      <c r="F16" s="51"/>
      <c r="J16" s="43"/>
      <c r="K16" s="41"/>
      <c r="L16" s="41"/>
      <c r="M16" s="41"/>
      <c r="N16" s="41"/>
      <c r="O16" s="41"/>
    </row>
    <row r="17" spans="1:10" s="38" customFormat="1" ht="15.75" customHeight="1" x14ac:dyDescent="0.25">
      <c r="A17" s="50" t="s">
        <v>22</v>
      </c>
      <c r="B17" s="52" t="s">
        <v>23</v>
      </c>
      <c r="C17" s="77" t="s">
        <v>60</v>
      </c>
      <c r="D17" s="78" t="s">
        <v>13</v>
      </c>
      <c r="E17" s="6"/>
      <c r="F17" s="30"/>
      <c r="J17" s="6"/>
    </row>
    <row r="18" spans="1:10" s="38" customFormat="1" ht="15.75" customHeight="1" x14ac:dyDescent="0.25">
      <c r="A18" s="53" t="s">
        <v>24</v>
      </c>
      <c r="B18" s="54" t="s">
        <v>25</v>
      </c>
      <c r="C18" s="54" t="s">
        <v>26</v>
      </c>
      <c r="D18" s="55" t="s">
        <v>27</v>
      </c>
      <c r="E18" s="6"/>
      <c r="F18" s="30"/>
      <c r="J18" s="6"/>
    </row>
    <row r="19" spans="1:10" s="38" customFormat="1" ht="15.75" customHeight="1" x14ac:dyDescent="0.25">
      <c r="A19" s="56">
        <v>2000</v>
      </c>
      <c r="B19" s="57" t="s">
        <v>28</v>
      </c>
      <c r="C19" s="79" t="s">
        <v>59</v>
      </c>
      <c r="D19" s="80">
        <v>2</v>
      </c>
      <c r="E19" s="4"/>
      <c r="F19" s="31"/>
      <c r="J19" s="4"/>
    </row>
    <row r="20" spans="1:10" x14ac:dyDescent="0.25">
      <c r="A20" s="56">
        <v>2000</v>
      </c>
      <c r="B20" s="57" t="s">
        <v>28</v>
      </c>
      <c r="C20" s="79" t="s">
        <v>59</v>
      </c>
      <c r="D20" s="80">
        <v>4</v>
      </c>
      <c r="E20" s="43"/>
      <c r="F20" s="51"/>
      <c r="J20" s="43"/>
    </row>
    <row r="21" spans="1:10" x14ac:dyDescent="0.25">
      <c r="A21" s="56">
        <v>2000</v>
      </c>
      <c r="B21" s="57" t="s">
        <v>62</v>
      </c>
      <c r="C21" s="79" t="s">
        <v>59</v>
      </c>
      <c r="D21" s="80">
        <v>2</v>
      </c>
      <c r="E21" s="43"/>
      <c r="F21" s="51"/>
      <c r="J21" s="43"/>
    </row>
    <row r="22" spans="1:10" x14ac:dyDescent="0.25">
      <c r="A22" s="56">
        <v>2000</v>
      </c>
      <c r="B22" s="57" t="s">
        <v>62</v>
      </c>
      <c r="C22" s="79" t="s">
        <v>29</v>
      </c>
      <c r="D22" s="80">
        <v>4</v>
      </c>
      <c r="E22" s="43"/>
      <c r="F22" s="51"/>
      <c r="J22" s="43"/>
    </row>
    <row r="23" spans="1:10" s="38" customFormat="1" ht="15.75" customHeight="1" x14ac:dyDescent="0.25">
      <c r="A23" s="56"/>
      <c r="B23" s="57"/>
      <c r="C23" s="79"/>
      <c r="D23" s="80"/>
      <c r="E23" s="4"/>
      <c r="F23" s="31"/>
      <c r="J23" s="4"/>
    </row>
    <row r="24" spans="1:10" x14ac:dyDescent="0.25">
      <c r="A24" s="56"/>
      <c r="B24" s="57"/>
      <c r="C24" s="79"/>
      <c r="D24" s="80"/>
      <c r="E24" s="43"/>
      <c r="F24" s="51"/>
      <c r="J24" s="43"/>
    </row>
    <row r="25" spans="1:10" x14ac:dyDescent="0.25">
      <c r="A25" s="56"/>
      <c r="B25" s="57"/>
      <c r="C25" s="79"/>
      <c r="D25" s="80"/>
      <c r="E25" s="43"/>
      <c r="F25" s="51"/>
      <c r="J25" s="43"/>
    </row>
    <row r="26" spans="1:10" x14ac:dyDescent="0.25">
      <c r="A26" s="56"/>
      <c r="B26" s="57"/>
      <c r="C26" s="79"/>
      <c r="D26" s="80"/>
      <c r="E26" s="43"/>
      <c r="F26" s="51"/>
      <c r="J26" s="43"/>
    </row>
    <row r="27" spans="1:10" x14ac:dyDescent="0.25">
      <c r="A27" s="56"/>
      <c r="B27" s="57"/>
      <c r="C27" s="79"/>
      <c r="D27" s="80"/>
      <c r="E27" s="43"/>
      <c r="F27" s="51"/>
      <c r="J27" s="43"/>
    </row>
    <row r="28" spans="1:10" x14ac:dyDescent="0.25">
      <c r="A28" s="56"/>
      <c r="B28" s="57"/>
      <c r="C28" s="79"/>
      <c r="D28" s="80"/>
      <c r="E28" s="43"/>
      <c r="F28" s="51"/>
      <c r="J28" s="43"/>
    </row>
    <row r="29" spans="1:10" ht="16.5" thickBot="1" x14ac:dyDescent="0.3">
      <c r="A29" s="59"/>
      <c r="B29" s="60"/>
      <c r="C29" s="61" t="s">
        <v>30</v>
      </c>
      <c r="D29" s="62">
        <f>SUM(D19:D28)</f>
        <v>12</v>
      </c>
      <c r="E29" s="63"/>
      <c r="F29" s="64"/>
      <c r="J29" s="43"/>
    </row>
    <row r="31" spans="1:10" ht="16.5" thickBot="1" x14ac:dyDescent="0.3"/>
    <row r="32" spans="1:10" ht="18.75" x14ac:dyDescent="0.25">
      <c r="A32" s="117" t="s">
        <v>39</v>
      </c>
      <c r="B32" s="118"/>
      <c r="C32" s="119"/>
    </row>
    <row r="33" spans="1:5" ht="43.5" customHeight="1" x14ac:dyDescent="0.25">
      <c r="A33" s="65" t="s">
        <v>0</v>
      </c>
      <c r="B33" s="66"/>
      <c r="C33" s="67"/>
      <c r="D33" s="38"/>
      <c r="E33" s="38"/>
    </row>
    <row r="34" spans="1:5" ht="36.75" customHeight="1" x14ac:dyDescent="0.25">
      <c r="A34" s="65" t="s">
        <v>1</v>
      </c>
      <c r="B34" s="32" t="e">
        <f>IFERROR(FIND(" ",#REF!)-1,LEN(#REF!))</f>
        <v>#REF!</v>
      </c>
      <c r="C34" s="35"/>
      <c r="D34" s="1" t="e">
        <f>LEFT(#REF!,$B$34)</f>
        <v>#REF!</v>
      </c>
      <c r="E34" s="2"/>
    </row>
    <row r="35" spans="1:5" x14ac:dyDescent="0.25">
      <c r="A35" s="124" t="s">
        <v>2</v>
      </c>
      <c r="B35" s="68" t="s">
        <v>6</v>
      </c>
      <c r="C35" s="69" t="s">
        <v>7</v>
      </c>
      <c r="D35" s="1"/>
      <c r="E35" s="2"/>
    </row>
    <row r="36" spans="1:5" x14ac:dyDescent="0.25">
      <c r="A36" s="125"/>
      <c r="B36" s="33">
        <v>1</v>
      </c>
      <c r="C36" s="36">
        <v>2</v>
      </c>
      <c r="D36" s="1"/>
      <c r="E36" s="2"/>
    </row>
    <row r="37" spans="1:5" x14ac:dyDescent="0.25">
      <c r="A37" s="70" t="s">
        <v>3</v>
      </c>
      <c r="B37" s="34" t="s">
        <v>12</v>
      </c>
      <c r="C37" s="37"/>
      <c r="D37" s="71"/>
      <c r="E37" s="2"/>
    </row>
    <row r="38" spans="1:5" x14ac:dyDescent="0.25">
      <c r="A38" s="95" t="s">
        <v>83</v>
      </c>
      <c r="B38" s="96">
        <v>2</v>
      </c>
      <c r="C38" s="97"/>
      <c r="D38" s="2"/>
      <c r="E38" s="2"/>
    </row>
    <row r="39" spans="1:5" ht="15.75" customHeight="1" x14ac:dyDescent="0.25">
      <c r="A39" s="100" t="s">
        <v>5</v>
      </c>
      <c r="B39" s="99"/>
      <c r="C39" s="101"/>
      <c r="E39" s="2"/>
    </row>
    <row r="40" spans="1:5" x14ac:dyDescent="0.25">
      <c r="A40" s="102" t="s">
        <v>4</v>
      </c>
      <c r="B40" s="113" t="s">
        <v>111</v>
      </c>
      <c r="C40" s="98"/>
    </row>
    <row r="41" spans="1:5" ht="39" x14ac:dyDescent="0.25">
      <c r="A41" s="94" t="s">
        <v>11</v>
      </c>
      <c r="B41" s="110">
        <v>45098</v>
      </c>
      <c r="C41" s="91" t="s">
        <v>106</v>
      </c>
      <c r="E41" s="72"/>
    </row>
    <row r="42" spans="1:5" x14ac:dyDescent="0.25">
      <c r="A42" s="73" t="s">
        <v>8</v>
      </c>
      <c r="B42" s="74" t="s">
        <v>10</v>
      </c>
      <c r="C42" s="75" t="s">
        <v>9</v>
      </c>
      <c r="E42" s="43"/>
    </row>
    <row r="43" spans="1:5" x14ac:dyDescent="0.25">
      <c r="A43" s="92" t="s">
        <v>107</v>
      </c>
      <c r="B43" s="103" t="s">
        <v>108</v>
      </c>
      <c r="C43" s="93" t="s">
        <v>109</v>
      </c>
      <c r="E43" s="43"/>
    </row>
    <row r="44" spans="1:5" x14ac:dyDescent="0.25">
      <c r="A44" s="92" t="s">
        <v>110</v>
      </c>
      <c r="B44" s="103" t="s">
        <v>108</v>
      </c>
      <c r="C44" s="93" t="s">
        <v>109</v>
      </c>
      <c r="E44" s="43"/>
    </row>
    <row r="45" spans="1:5" x14ac:dyDescent="0.25">
      <c r="A45" s="111"/>
      <c r="B45" s="76"/>
      <c r="C45" s="112"/>
    </row>
    <row r="46" spans="1:5" x14ac:dyDescent="0.25">
      <c r="A46" s="111"/>
      <c r="B46" s="76"/>
      <c r="C46" s="112"/>
    </row>
    <row r="47" spans="1:5" x14ac:dyDescent="0.25">
      <c r="A47" s="111"/>
      <c r="B47" s="76"/>
      <c r="C47" s="112"/>
    </row>
    <row r="48" spans="1:5" x14ac:dyDescent="0.25">
      <c r="A48" s="111"/>
      <c r="B48" s="104"/>
      <c r="C48" s="112"/>
    </row>
    <row r="49" spans="1:3" x14ac:dyDescent="0.25">
      <c r="A49" s="104"/>
      <c r="B49" s="104"/>
      <c r="C49" s="105"/>
    </row>
    <row r="50" spans="1:3" x14ac:dyDescent="0.25">
      <c r="A50" s="111"/>
      <c r="B50" s="104"/>
      <c r="C50" s="105"/>
    </row>
    <row r="51" spans="1:3" x14ac:dyDescent="0.25">
      <c r="A51" s="104"/>
      <c r="B51" s="106"/>
      <c r="C51" s="105"/>
    </row>
    <row r="52" spans="1:3" x14ac:dyDescent="0.25">
      <c r="A52" s="106"/>
      <c r="B52" s="104"/>
      <c r="C52" s="105"/>
    </row>
    <row r="53" spans="1:3" x14ac:dyDescent="0.25">
      <c r="A53" s="106"/>
      <c r="B53" s="104"/>
      <c r="C53" s="105"/>
    </row>
    <row r="54" spans="1:3" x14ac:dyDescent="0.25">
      <c r="A54" s="106"/>
      <c r="B54" s="76"/>
      <c r="C54" s="105"/>
    </row>
    <row r="55" spans="1:3" x14ac:dyDescent="0.25">
      <c r="A55" s="106"/>
      <c r="B55" s="104"/>
      <c r="C55" s="105"/>
    </row>
    <row r="56" spans="1:3" ht="16.5" thickBot="1" x14ac:dyDescent="0.3">
      <c r="A56" s="109"/>
      <c r="B56" s="107"/>
      <c r="C56" s="108"/>
    </row>
  </sheetData>
  <mergeCells count="5">
    <mergeCell ref="A11:D11"/>
    <mergeCell ref="A32:C32"/>
    <mergeCell ref="E11:F11"/>
    <mergeCell ref="A1:B1"/>
    <mergeCell ref="A35:A36"/>
  </mergeCells>
  <dataValidations count="12">
    <dataValidation type="list" allowBlank="1" showInputMessage="1" showErrorMessage="1" sqref="B37">
      <formula1>"Cy Gate Lane,Gate Admin Lane"</formula1>
    </dataValidation>
    <dataValidation type="list" allowBlank="1" showInputMessage="1" showErrorMessage="1" sqref="C19:C28">
      <formula1>"F,E"</formula1>
    </dataValidation>
    <dataValidation type="list" allowBlank="1" showInputMessage="1" showErrorMessage="1" sqref="B19:B28">
      <formula1>"EX,ST"</formula1>
    </dataValidation>
    <dataValidation allowBlank="1" showInputMessage="1" showErrorMessage="1" promptTitle="ATTENTION!" prompt="_x000a_Outbound visit must be existing!" sqref="B14"/>
    <dataValidation allowBlank="1" showInputMessage="1" showErrorMessage="1" promptTitle="ATTENTION!" prompt="_x000a_Operator must be in the outbound visit's list of operator!" sqref="B13"/>
    <dataValidation allowBlank="1" showInputMessage="1" showErrorMessage="1" promptTitle="ATTENTION!" prompt="_x000a_Booking number visit must be associated with the outbound visit!" sqref="B17"/>
    <dataValidation allowBlank="1" showInputMessage="1" showErrorMessage="1" promptTitle="ATTENTION!" prompt="_x000a_POL must be in the outbound visit's port rotation!" sqref="B15"/>
    <dataValidation allowBlank="1" showInputMessage="1" showErrorMessage="1" promptTitle="ATTENTION!" prompt="_x000a_POD must be in the outbound visit's port rotation!" sqref="B16"/>
    <dataValidation allowBlank="1" showInputMessage="1" showErrorMessage="1" promptTitle="ATTENTION!" prompt="_x000a_Booking operator must be associated with the booking number!" sqref="D17"/>
    <dataValidation allowBlank="1" showInputMessage="1" showErrorMessage="1" promptTitle="ATTENTION!" prompt="_x000a_ISO type must be available in the booking number!" sqref="A19"/>
    <dataValidation allowBlank="1" showInputMessage="1" showErrorMessage="1" promptTitle="ATTENTION!" prompt="_x000a_Number of data must not exceed the quantity set in the booking number!" sqref="D19"/>
    <dataValidation type="list" allowBlank="1" showInputMessage="1" showErrorMessage="1" sqref="B54 B43:B47">
      <formula1>"IN,BOTH"</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9" r:id="rId4" name="ComboBox1">
          <controlPr defaultSize="0" autoLine="0" autoPict="0" r:id="rId5">
            <anchor moveWithCells="1">
              <from>
                <xdr:col>1</xdr:col>
                <xdr:colOff>85725</xdr:colOff>
                <xdr:row>32</xdr:row>
                <xdr:rowOff>76200</xdr:rowOff>
              </from>
              <to>
                <xdr:col>1</xdr:col>
                <xdr:colOff>2343150</xdr:colOff>
                <xdr:row>32</xdr:row>
                <xdr:rowOff>390525</xdr:rowOff>
              </to>
            </anchor>
          </controlPr>
        </control>
      </mc:Choice>
      <mc:Fallback>
        <control shapeId="1029" r:id="rId4" name="ComboBox1"/>
      </mc:Fallback>
    </mc:AlternateContent>
    <mc:AlternateContent xmlns:mc="http://schemas.openxmlformats.org/markup-compatibility/2006">
      <mc:Choice Requires="x14">
        <control shapeId="1030" r:id="rId6" name="ComboBox2">
          <controlPr defaultSize="0" autoLine="0" r:id="rId7">
            <anchor moveWithCells="1">
              <from>
                <xdr:col>1</xdr:col>
                <xdr:colOff>114300</xdr:colOff>
                <xdr:row>33</xdr:row>
                <xdr:rowOff>104775</xdr:rowOff>
              </from>
              <to>
                <xdr:col>1</xdr:col>
                <xdr:colOff>2362200</xdr:colOff>
                <xdr:row>33</xdr:row>
                <xdr:rowOff>381000</xdr:rowOff>
              </to>
            </anchor>
          </controlPr>
        </control>
      </mc:Choice>
      <mc:Fallback>
        <control shapeId="1030" r:id="rId6" name="ComboBox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2"/>
  <sheetViews>
    <sheetView topLeftCell="A85" workbookViewId="0">
      <selection activeCell="D2" sqref="D2"/>
    </sheetView>
  </sheetViews>
  <sheetFormatPr defaultRowHeight="15" x14ac:dyDescent="0.25"/>
  <cols>
    <col min="1" max="1" width="59.140625" style="12" customWidth="1"/>
    <col min="2" max="2" width="23" style="12" customWidth="1"/>
    <col min="3" max="3" width="5.28515625" style="12" customWidth="1"/>
    <col min="4" max="4" width="23" style="12" customWidth="1"/>
    <col min="5" max="5" width="24.85546875" style="12" customWidth="1"/>
    <col min="6" max="6" width="81.140625" style="12" customWidth="1"/>
    <col min="7" max="16384" width="9.140625" style="12"/>
  </cols>
  <sheetData>
    <row r="1" spans="1:10" s="11" customFormat="1" ht="37.5" x14ac:dyDescent="0.3">
      <c r="A1" s="7"/>
      <c r="B1" s="8" t="s">
        <v>64</v>
      </c>
      <c r="C1" s="8"/>
      <c r="D1" s="8" t="s">
        <v>65</v>
      </c>
      <c r="E1" s="7"/>
      <c r="F1" s="8" t="s">
        <v>40</v>
      </c>
      <c r="G1" s="10"/>
      <c r="H1" s="10"/>
      <c r="I1" s="10"/>
      <c r="J1" s="10"/>
    </row>
    <row r="2" spans="1:10" ht="75" x14ac:dyDescent="0.25">
      <c r="A2" s="12" t="s">
        <v>63</v>
      </c>
      <c r="B2" s="12" t="s">
        <v>84</v>
      </c>
      <c r="C2" s="13" t="s">
        <v>68</v>
      </c>
      <c r="D2" s="12" t="s">
        <v>84</v>
      </c>
      <c r="E2" s="13" t="s">
        <v>69</v>
      </c>
      <c r="F2" s="12" t="str">
        <f>CONCATENATE(A2,B2,C2,D2,E2)</f>
        <v>INSERT INTO TMS_TID_TKCO (TK_CO_I, LST_UPDT_D, TK_CO_N, DELETED,  PARTNER_TX_D, LAST_UPDATE_USER_AN) VALUES ('ZACE', NOW_GMT(), 'ZACE', 'N', NOW_GMT(), 'SYSTEM');</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1"/>
  <sheetViews>
    <sheetView workbookViewId="0">
      <selection activeCell="B2" sqref="B2"/>
    </sheetView>
  </sheetViews>
  <sheetFormatPr defaultRowHeight="15" x14ac:dyDescent="0.25"/>
  <cols>
    <col min="1" max="1" width="59.140625" style="12" customWidth="1"/>
    <col min="2" max="2" width="23" style="12" customWidth="1"/>
    <col min="3" max="3" width="5.28515625" style="12" customWidth="1"/>
    <col min="4" max="4" width="23" style="12" customWidth="1"/>
    <col min="5" max="5" width="24.85546875" style="12" customWidth="1"/>
    <col min="6" max="6" width="81.140625" style="12" customWidth="1"/>
    <col min="7" max="16384" width="9.140625" style="12"/>
  </cols>
  <sheetData>
    <row r="1" spans="1:10" s="11" customFormat="1" ht="18.75" x14ac:dyDescent="0.3">
      <c r="A1" s="7"/>
      <c r="B1" s="8" t="s">
        <v>32</v>
      </c>
      <c r="C1" s="8"/>
      <c r="D1" s="9" t="s">
        <v>33</v>
      </c>
      <c r="E1" s="7"/>
      <c r="F1" s="8" t="s">
        <v>40</v>
      </c>
      <c r="G1" s="10"/>
      <c r="H1" s="10"/>
      <c r="I1" s="10"/>
      <c r="J1" s="10"/>
    </row>
    <row r="2" spans="1:10" ht="60" x14ac:dyDescent="0.25">
      <c r="A2" s="12" t="s">
        <v>41</v>
      </c>
      <c r="B2" s="12" t="s">
        <v>85</v>
      </c>
      <c r="C2" s="13" t="s">
        <v>42</v>
      </c>
      <c r="D2" s="12" t="s">
        <v>85</v>
      </c>
      <c r="E2" s="13" t="s">
        <v>43</v>
      </c>
      <c r="F2" s="12" t="str">
        <f>CONCATENATE(A2,B2,C2,D2,E2)</f>
        <v>INSERT INTO TMS_TID_TK (TK_I, LICENCE_PLATE_AN, SUSPEND_FROM_TM, SUSPEND_TO_TM, TRACTOR_STATUS_CODE, DELETED, PARTNER_TX_D, LAST_UPDATE_USER_AN,LST_UPDT_D) VALUES ('ZACE1','ZACE1', null, null, 'A','N',NOW_GMT(),'SYSTEM',NOW_GMT());</v>
      </c>
    </row>
    <row r="3" spans="1:10" ht="60" x14ac:dyDescent="0.25">
      <c r="A3" s="12" t="s">
        <v>41</v>
      </c>
      <c r="B3" s="12" t="s">
        <v>86</v>
      </c>
      <c r="C3" s="13" t="s">
        <v>42</v>
      </c>
      <c r="D3" s="12" t="s">
        <v>86</v>
      </c>
      <c r="E3" s="13" t="s">
        <v>43</v>
      </c>
      <c r="F3" s="12" t="str">
        <f t="shared" ref="F3:F21" si="0">CONCATENATE(A3,B3,C3,D3,E3)</f>
        <v>INSERT INTO TMS_TID_TK (TK_I, LICENCE_PLATE_AN, SUSPEND_FROM_TM, SUSPEND_TO_TM, TRACTOR_STATUS_CODE, DELETED, PARTNER_TX_D, LAST_UPDATE_USER_AN,LST_UPDT_D) VALUES ('ZACE2','ZACE2', null, null, 'A','N',NOW_GMT(),'SYSTEM',NOW_GMT());</v>
      </c>
    </row>
    <row r="4" spans="1:10" ht="60" x14ac:dyDescent="0.25">
      <c r="A4" s="12" t="s">
        <v>41</v>
      </c>
      <c r="B4" s="12" t="s">
        <v>87</v>
      </c>
      <c r="C4" s="13" t="s">
        <v>42</v>
      </c>
      <c r="D4" s="12" t="s">
        <v>87</v>
      </c>
      <c r="E4" s="13" t="s">
        <v>43</v>
      </c>
      <c r="F4" s="12" t="str">
        <f t="shared" si="0"/>
        <v>INSERT INTO TMS_TID_TK (TK_I, LICENCE_PLATE_AN, SUSPEND_FROM_TM, SUSPEND_TO_TM, TRACTOR_STATUS_CODE, DELETED, PARTNER_TX_D, LAST_UPDATE_USER_AN,LST_UPDT_D) VALUES ('ZACE3','ZACE3', null, null, 'A','N',NOW_GMT(),'SYSTEM',NOW_GMT());</v>
      </c>
    </row>
    <row r="5" spans="1:10" ht="60" x14ac:dyDescent="0.25">
      <c r="A5" s="12" t="s">
        <v>41</v>
      </c>
      <c r="B5" s="12" t="s">
        <v>88</v>
      </c>
      <c r="C5" s="13" t="s">
        <v>42</v>
      </c>
      <c r="D5" s="12" t="s">
        <v>88</v>
      </c>
      <c r="E5" s="13" t="s">
        <v>43</v>
      </c>
      <c r="F5" s="12" t="str">
        <f t="shared" si="0"/>
        <v>INSERT INTO TMS_TID_TK (TK_I, LICENCE_PLATE_AN, SUSPEND_FROM_TM, SUSPEND_TO_TM, TRACTOR_STATUS_CODE, DELETED, PARTNER_TX_D, LAST_UPDATE_USER_AN,LST_UPDT_D) VALUES ('ZACE4','ZACE4', null, null, 'A','N',NOW_GMT(),'SYSTEM',NOW_GMT());</v>
      </c>
    </row>
    <row r="6" spans="1:10" ht="60" x14ac:dyDescent="0.25">
      <c r="A6" s="12" t="s">
        <v>41</v>
      </c>
      <c r="B6" s="12" t="s">
        <v>89</v>
      </c>
      <c r="C6" s="13" t="s">
        <v>42</v>
      </c>
      <c r="D6" s="12" t="s">
        <v>89</v>
      </c>
      <c r="E6" s="13" t="s">
        <v>43</v>
      </c>
      <c r="F6" s="12" t="str">
        <f t="shared" si="0"/>
        <v>INSERT INTO TMS_TID_TK (TK_I, LICENCE_PLATE_AN, SUSPEND_FROM_TM, SUSPEND_TO_TM, TRACTOR_STATUS_CODE, DELETED, PARTNER_TX_D, LAST_UPDATE_USER_AN,LST_UPDT_D) VALUES ('ZACE5','ZACE5', null, null, 'A','N',NOW_GMT(),'SYSTEM',NOW_GMT());</v>
      </c>
    </row>
    <row r="7" spans="1:10" ht="60" x14ac:dyDescent="0.25">
      <c r="A7" s="12" t="s">
        <v>41</v>
      </c>
      <c r="B7" s="12" t="s">
        <v>90</v>
      </c>
      <c r="C7" s="13" t="s">
        <v>42</v>
      </c>
      <c r="D7" s="12" t="s">
        <v>90</v>
      </c>
      <c r="E7" s="13" t="s">
        <v>43</v>
      </c>
      <c r="F7" s="12" t="str">
        <f t="shared" si="0"/>
        <v>INSERT INTO TMS_TID_TK (TK_I, LICENCE_PLATE_AN, SUSPEND_FROM_TM, SUSPEND_TO_TM, TRACTOR_STATUS_CODE, DELETED, PARTNER_TX_D, LAST_UPDATE_USER_AN,LST_UPDT_D) VALUES ('ZACE6','ZACE6', null, null, 'A','N',NOW_GMT(),'SYSTEM',NOW_GMT());</v>
      </c>
    </row>
    <row r="8" spans="1:10" ht="60" x14ac:dyDescent="0.25">
      <c r="A8" s="12" t="s">
        <v>41</v>
      </c>
      <c r="B8" s="12" t="s">
        <v>91</v>
      </c>
      <c r="C8" s="13" t="s">
        <v>42</v>
      </c>
      <c r="D8" s="12" t="s">
        <v>91</v>
      </c>
      <c r="E8" s="13" t="s">
        <v>43</v>
      </c>
      <c r="F8" s="12" t="str">
        <f t="shared" si="0"/>
        <v>INSERT INTO TMS_TID_TK (TK_I, LICENCE_PLATE_AN, SUSPEND_FROM_TM, SUSPEND_TO_TM, TRACTOR_STATUS_CODE, DELETED, PARTNER_TX_D, LAST_UPDATE_USER_AN,LST_UPDT_D) VALUES ('ZACE7','ZACE7', null, null, 'A','N',NOW_GMT(),'SYSTEM',NOW_GMT());</v>
      </c>
    </row>
    <row r="9" spans="1:10" ht="60" x14ac:dyDescent="0.25">
      <c r="A9" s="12" t="s">
        <v>41</v>
      </c>
      <c r="B9" s="12" t="s">
        <v>92</v>
      </c>
      <c r="C9" s="13" t="s">
        <v>42</v>
      </c>
      <c r="D9" s="12" t="s">
        <v>92</v>
      </c>
      <c r="E9" s="13" t="s">
        <v>43</v>
      </c>
      <c r="F9" s="12" t="str">
        <f t="shared" si="0"/>
        <v>INSERT INTO TMS_TID_TK (TK_I, LICENCE_PLATE_AN, SUSPEND_FROM_TM, SUSPEND_TO_TM, TRACTOR_STATUS_CODE, DELETED, PARTNER_TX_D, LAST_UPDATE_USER_AN,LST_UPDT_D) VALUES ('ZACE8','ZACE8', null, null, 'A','N',NOW_GMT(),'SYSTEM',NOW_GMT());</v>
      </c>
    </row>
    <row r="10" spans="1:10" ht="60" x14ac:dyDescent="0.25">
      <c r="A10" s="12" t="s">
        <v>41</v>
      </c>
      <c r="B10" s="12" t="s">
        <v>93</v>
      </c>
      <c r="C10" s="13" t="s">
        <v>42</v>
      </c>
      <c r="D10" s="12" t="s">
        <v>93</v>
      </c>
      <c r="E10" s="13" t="s">
        <v>43</v>
      </c>
      <c r="F10" s="12" t="str">
        <f t="shared" si="0"/>
        <v>INSERT INTO TMS_TID_TK (TK_I, LICENCE_PLATE_AN, SUSPEND_FROM_TM, SUSPEND_TO_TM, TRACTOR_STATUS_CODE, DELETED, PARTNER_TX_D, LAST_UPDATE_USER_AN,LST_UPDT_D) VALUES ('ZACE9','ZACE9', null, null, 'A','N',NOW_GMT(),'SYSTEM',NOW_GMT());</v>
      </c>
    </row>
    <row r="11" spans="1:10" ht="60" x14ac:dyDescent="0.25">
      <c r="A11" s="12" t="s">
        <v>41</v>
      </c>
      <c r="B11" s="12" t="s">
        <v>94</v>
      </c>
      <c r="C11" s="13" t="s">
        <v>42</v>
      </c>
      <c r="D11" s="12" t="s">
        <v>94</v>
      </c>
      <c r="E11" s="13" t="s">
        <v>43</v>
      </c>
      <c r="F11" s="12" t="str">
        <f t="shared" si="0"/>
        <v>INSERT INTO TMS_TID_TK (TK_I, LICENCE_PLATE_AN, SUSPEND_FROM_TM, SUSPEND_TO_TM, TRACTOR_STATUS_CODE, DELETED, PARTNER_TX_D, LAST_UPDATE_USER_AN,LST_UPDT_D) VALUES ('ZACE10','ZACE10', null, null, 'A','N',NOW_GMT(),'SYSTEM',NOW_GMT());</v>
      </c>
    </row>
    <row r="12" spans="1:10" ht="60" x14ac:dyDescent="0.25">
      <c r="A12" s="12" t="s">
        <v>41</v>
      </c>
      <c r="B12" s="12" t="s">
        <v>95</v>
      </c>
      <c r="C12" s="13" t="s">
        <v>42</v>
      </c>
      <c r="D12" s="12" t="s">
        <v>95</v>
      </c>
      <c r="E12" s="13" t="s">
        <v>43</v>
      </c>
      <c r="F12" s="12" t="str">
        <f t="shared" si="0"/>
        <v>INSERT INTO TMS_TID_TK (TK_I, LICENCE_PLATE_AN, SUSPEND_FROM_TM, SUSPEND_TO_TM, TRACTOR_STATUS_CODE, DELETED, PARTNER_TX_D, LAST_UPDATE_USER_AN,LST_UPDT_D) VALUES ('ZACE11','ZACE11', null, null, 'A','N',NOW_GMT(),'SYSTEM',NOW_GMT());</v>
      </c>
    </row>
    <row r="13" spans="1:10" ht="60" x14ac:dyDescent="0.25">
      <c r="A13" s="12" t="s">
        <v>41</v>
      </c>
      <c r="B13" s="12" t="s">
        <v>96</v>
      </c>
      <c r="C13" s="13" t="s">
        <v>42</v>
      </c>
      <c r="D13" s="12" t="s">
        <v>96</v>
      </c>
      <c r="E13" s="13" t="s">
        <v>43</v>
      </c>
      <c r="F13" s="12" t="str">
        <f t="shared" si="0"/>
        <v>INSERT INTO TMS_TID_TK (TK_I, LICENCE_PLATE_AN, SUSPEND_FROM_TM, SUSPEND_TO_TM, TRACTOR_STATUS_CODE, DELETED, PARTNER_TX_D, LAST_UPDATE_USER_AN,LST_UPDT_D) VALUES ('ZACE12','ZACE12', null, null, 'A','N',NOW_GMT(),'SYSTEM',NOW_GMT());</v>
      </c>
    </row>
    <row r="14" spans="1:10" ht="60" x14ac:dyDescent="0.25">
      <c r="A14" s="12" t="s">
        <v>41</v>
      </c>
      <c r="B14" s="12" t="s">
        <v>97</v>
      </c>
      <c r="C14" s="13" t="s">
        <v>42</v>
      </c>
      <c r="D14" s="12" t="s">
        <v>97</v>
      </c>
      <c r="E14" s="13" t="s">
        <v>43</v>
      </c>
      <c r="F14" s="12" t="str">
        <f t="shared" si="0"/>
        <v>INSERT INTO TMS_TID_TK (TK_I, LICENCE_PLATE_AN, SUSPEND_FROM_TM, SUSPEND_TO_TM, TRACTOR_STATUS_CODE, DELETED, PARTNER_TX_D, LAST_UPDATE_USER_AN,LST_UPDT_D) VALUES ('ZACE13','ZACE13', null, null, 'A','N',NOW_GMT(),'SYSTEM',NOW_GMT());</v>
      </c>
    </row>
    <row r="15" spans="1:10" ht="60" x14ac:dyDescent="0.25">
      <c r="A15" s="12" t="s">
        <v>41</v>
      </c>
      <c r="B15" s="12" t="s">
        <v>98</v>
      </c>
      <c r="C15" s="13" t="s">
        <v>42</v>
      </c>
      <c r="D15" s="12" t="s">
        <v>98</v>
      </c>
      <c r="E15" s="13" t="s">
        <v>43</v>
      </c>
      <c r="F15" s="12" t="str">
        <f t="shared" si="0"/>
        <v>INSERT INTO TMS_TID_TK (TK_I, LICENCE_PLATE_AN, SUSPEND_FROM_TM, SUSPEND_TO_TM, TRACTOR_STATUS_CODE, DELETED, PARTNER_TX_D, LAST_UPDATE_USER_AN,LST_UPDT_D) VALUES ('ZACE14','ZACE14', null, null, 'A','N',NOW_GMT(),'SYSTEM',NOW_GMT());</v>
      </c>
    </row>
    <row r="16" spans="1:10" ht="60" x14ac:dyDescent="0.25">
      <c r="A16" s="12" t="s">
        <v>41</v>
      </c>
      <c r="B16" s="12" t="s">
        <v>99</v>
      </c>
      <c r="C16" s="13" t="s">
        <v>42</v>
      </c>
      <c r="D16" s="12" t="s">
        <v>99</v>
      </c>
      <c r="E16" s="13" t="s">
        <v>43</v>
      </c>
      <c r="F16" s="12" t="str">
        <f t="shared" si="0"/>
        <v>INSERT INTO TMS_TID_TK (TK_I, LICENCE_PLATE_AN, SUSPEND_FROM_TM, SUSPEND_TO_TM, TRACTOR_STATUS_CODE, DELETED, PARTNER_TX_D, LAST_UPDATE_USER_AN,LST_UPDT_D) VALUES ('ZACE15','ZACE15', null, null, 'A','N',NOW_GMT(),'SYSTEM',NOW_GMT());</v>
      </c>
    </row>
    <row r="17" spans="1:6" ht="60" x14ac:dyDescent="0.25">
      <c r="A17" s="12" t="s">
        <v>41</v>
      </c>
      <c r="B17" s="12" t="s">
        <v>100</v>
      </c>
      <c r="C17" s="13" t="s">
        <v>42</v>
      </c>
      <c r="D17" s="12" t="s">
        <v>100</v>
      </c>
      <c r="E17" s="13" t="s">
        <v>43</v>
      </c>
      <c r="F17" s="12" t="str">
        <f t="shared" si="0"/>
        <v>INSERT INTO TMS_TID_TK (TK_I, LICENCE_PLATE_AN, SUSPEND_FROM_TM, SUSPEND_TO_TM, TRACTOR_STATUS_CODE, DELETED, PARTNER_TX_D, LAST_UPDATE_USER_AN,LST_UPDT_D) VALUES ('ZACE16','ZACE16', null, null, 'A','N',NOW_GMT(),'SYSTEM',NOW_GMT());</v>
      </c>
    </row>
    <row r="18" spans="1:6" ht="60" x14ac:dyDescent="0.25">
      <c r="A18" s="12" t="s">
        <v>41</v>
      </c>
      <c r="B18" s="12" t="s">
        <v>101</v>
      </c>
      <c r="C18" s="13" t="s">
        <v>42</v>
      </c>
      <c r="D18" s="12" t="s">
        <v>101</v>
      </c>
      <c r="E18" s="13" t="s">
        <v>43</v>
      </c>
      <c r="F18" s="12" t="str">
        <f t="shared" si="0"/>
        <v>INSERT INTO TMS_TID_TK (TK_I, LICENCE_PLATE_AN, SUSPEND_FROM_TM, SUSPEND_TO_TM, TRACTOR_STATUS_CODE, DELETED, PARTNER_TX_D, LAST_UPDATE_USER_AN,LST_UPDT_D) VALUES ('ZACE17','ZACE17', null, null, 'A','N',NOW_GMT(),'SYSTEM',NOW_GMT());</v>
      </c>
    </row>
    <row r="19" spans="1:6" ht="60" x14ac:dyDescent="0.25">
      <c r="A19" s="12" t="s">
        <v>41</v>
      </c>
      <c r="B19" s="12" t="s">
        <v>102</v>
      </c>
      <c r="C19" s="13" t="s">
        <v>42</v>
      </c>
      <c r="D19" s="12" t="s">
        <v>102</v>
      </c>
      <c r="E19" s="13" t="s">
        <v>43</v>
      </c>
      <c r="F19" s="12" t="str">
        <f t="shared" si="0"/>
        <v>INSERT INTO TMS_TID_TK (TK_I, LICENCE_PLATE_AN, SUSPEND_FROM_TM, SUSPEND_TO_TM, TRACTOR_STATUS_CODE, DELETED, PARTNER_TX_D, LAST_UPDATE_USER_AN,LST_UPDT_D) VALUES ('ZACE18','ZACE18', null, null, 'A','N',NOW_GMT(),'SYSTEM',NOW_GMT());</v>
      </c>
    </row>
    <row r="20" spans="1:6" ht="60" x14ac:dyDescent="0.25">
      <c r="A20" s="12" t="s">
        <v>41</v>
      </c>
      <c r="B20" s="12" t="s">
        <v>103</v>
      </c>
      <c r="C20" s="13" t="s">
        <v>42</v>
      </c>
      <c r="D20" s="12" t="s">
        <v>103</v>
      </c>
      <c r="E20" s="13" t="s">
        <v>43</v>
      </c>
      <c r="F20" s="12" t="str">
        <f t="shared" si="0"/>
        <v>INSERT INTO TMS_TID_TK (TK_I, LICENCE_PLATE_AN, SUSPEND_FROM_TM, SUSPEND_TO_TM, TRACTOR_STATUS_CODE, DELETED, PARTNER_TX_D, LAST_UPDATE_USER_AN,LST_UPDT_D) VALUES ('ZACE19','ZACE19', null, null, 'A','N',NOW_GMT(),'SYSTEM',NOW_GMT());</v>
      </c>
    </row>
    <row r="21" spans="1:6" ht="60" x14ac:dyDescent="0.25">
      <c r="A21" s="12" t="s">
        <v>41</v>
      </c>
      <c r="B21" s="12" t="s">
        <v>104</v>
      </c>
      <c r="C21" s="13" t="s">
        <v>42</v>
      </c>
      <c r="D21" s="12" t="s">
        <v>104</v>
      </c>
      <c r="E21" s="13" t="s">
        <v>43</v>
      </c>
      <c r="F21" s="12" t="str">
        <f t="shared" si="0"/>
        <v>INSERT INTO TMS_TID_TK (TK_I, LICENCE_PLATE_AN, SUSPEND_FROM_TM, SUSPEND_TO_TM, TRACTOR_STATUS_CODE, DELETED, PARTNER_TX_D, LAST_UPDATE_USER_AN,LST_UPDT_D) VALUES ('ZACE20','ZACE20', null, null, 'A','N',NOW_GMT(),'SYSTEM',NOW_GMT());</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1"/>
  <sheetViews>
    <sheetView workbookViewId="0">
      <selection activeCell="F2" sqref="F2"/>
    </sheetView>
  </sheetViews>
  <sheetFormatPr defaultRowHeight="15" x14ac:dyDescent="0.25"/>
  <cols>
    <col min="1" max="1" width="79.28515625" style="19" customWidth="1"/>
    <col min="2" max="3" width="5.28515625" style="19" customWidth="1"/>
    <col min="4" max="4" width="18.85546875" style="19" customWidth="1"/>
    <col min="5" max="5" width="5.28515625" style="19" customWidth="1"/>
    <col min="6" max="6" width="18.85546875" style="19" customWidth="1"/>
    <col min="7" max="7" width="19" style="19" customWidth="1"/>
    <col min="8" max="8" width="100.7109375" style="20" customWidth="1"/>
    <col min="9" max="16384" width="9.140625" style="19"/>
  </cols>
  <sheetData>
    <row r="1" spans="1:8" s="15" customFormat="1" ht="18.75" x14ac:dyDescent="0.3">
      <c r="A1" s="14"/>
      <c r="B1" s="14"/>
      <c r="C1" s="14"/>
      <c r="D1" s="9" t="s">
        <v>31</v>
      </c>
      <c r="E1" s="9"/>
      <c r="F1" s="8" t="s">
        <v>32</v>
      </c>
      <c r="G1" s="14"/>
      <c r="H1" s="8" t="s">
        <v>40</v>
      </c>
    </row>
    <row r="2" spans="1:8" ht="30" x14ac:dyDescent="0.25">
      <c r="A2" s="16" t="s">
        <v>44</v>
      </c>
      <c r="B2" s="16" t="s">
        <v>45</v>
      </c>
      <c r="C2" s="17" t="s">
        <v>46</v>
      </c>
      <c r="D2" s="17" t="s">
        <v>84</v>
      </c>
      <c r="E2" s="17" t="s">
        <v>42</v>
      </c>
      <c r="F2" s="5" t="s">
        <v>85</v>
      </c>
      <c r="G2" s="17" t="s">
        <v>47</v>
      </c>
      <c r="H2" s="18" t="str">
        <f>CONCATENATE(A2,B2,C2,D2,E2,F2,G2)</f>
        <v>INSERT INTO TMS_TID_TKCO_TK (TK_CO_I, TK_I, DELETED, LAST_UPDATE_TM, LAST_UPDATE_USER_AN) VALUES ('ZACE','ZACE1','N',NOW_GMT(),'SYSTEM');</v>
      </c>
    </row>
    <row r="3" spans="1:8" ht="30" x14ac:dyDescent="0.25">
      <c r="A3" s="16" t="s">
        <v>44</v>
      </c>
      <c r="B3" s="16" t="s">
        <v>45</v>
      </c>
      <c r="C3" s="17" t="s">
        <v>46</v>
      </c>
      <c r="D3" s="17" t="s">
        <v>84</v>
      </c>
      <c r="E3" s="17" t="s">
        <v>42</v>
      </c>
      <c r="F3" s="19" t="s">
        <v>86</v>
      </c>
      <c r="G3" s="17" t="s">
        <v>47</v>
      </c>
      <c r="H3" s="18" t="str">
        <f t="shared" ref="H3:H21" si="0">CONCATENATE(A3,B3,C3,D3,E3,F3,G3)</f>
        <v>INSERT INTO TMS_TID_TKCO_TK (TK_CO_I, TK_I, DELETED, LAST_UPDATE_TM, LAST_UPDATE_USER_AN) VALUES ('ZACE','ZACE2','N',NOW_GMT(),'SYSTEM');</v>
      </c>
    </row>
    <row r="4" spans="1:8" ht="30" x14ac:dyDescent="0.25">
      <c r="A4" s="16" t="s">
        <v>44</v>
      </c>
      <c r="B4" s="16" t="s">
        <v>45</v>
      </c>
      <c r="C4" s="17" t="s">
        <v>46</v>
      </c>
      <c r="D4" s="17" t="s">
        <v>84</v>
      </c>
      <c r="E4" s="17" t="s">
        <v>42</v>
      </c>
      <c r="F4" s="19" t="s">
        <v>87</v>
      </c>
      <c r="G4" s="17" t="s">
        <v>47</v>
      </c>
      <c r="H4" s="18" t="str">
        <f t="shared" si="0"/>
        <v>INSERT INTO TMS_TID_TKCO_TK (TK_CO_I, TK_I, DELETED, LAST_UPDATE_TM, LAST_UPDATE_USER_AN) VALUES ('ZACE','ZACE3','N',NOW_GMT(),'SYSTEM');</v>
      </c>
    </row>
    <row r="5" spans="1:8" ht="30" x14ac:dyDescent="0.25">
      <c r="A5" s="16" t="s">
        <v>44</v>
      </c>
      <c r="B5" s="16" t="s">
        <v>45</v>
      </c>
      <c r="C5" s="17" t="s">
        <v>46</v>
      </c>
      <c r="D5" s="17" t="s">
        <v>84</v>
      </c>
      <c r="E5" s="17" t="s">
        <v>42</v>
      </c>
      <c r="F5" s="19" t="s">
        <v>88</v>
      </c>
      <c r="G5" s="17" t="s">
        <v>47</v>
      </c>
      <c r="H5" s="18" t="str">
        <f t="shared" si="0"/>
        <v>INSERT INTO TMS_TID_TKCO_TK (TK_CO_I, TK_I, DELETED, LAST_UPDATE_TM, LAST_UPDATE_USER_AN) VALUES ('ZACE','ZACE4','N',NOW_GMT(),'SYSTEM');</v>
      </c>
    </row>
    <row r="6" spans="1:8" ht="30" x14ac:dyDescent="0.25">
      <c r="A6" s="16" t="s">
        <v>44</v>
      </c>
      <c r="B6" s="16" t="s">
        <v>45</v>
      </c>
      <c r="C6" s="17" t="s">
        <v>46</v>
      </c>
      <c r="D6" s="17" t="s">
        <v>84</v>
      </c>
      <c r="E6" s="17" t="s">
        <v>42</v>
      </c>
      <c r="F6" s="19" t="s">
        <v>89</v>
      </c>
      <c r="G6" s="17" t="s">
        <v>47</v>
      </c>
      <c r="H6" s="18" t="str">
        <f t="shared" si="0"/>
        <v>INSERT INTO TMS_TID_TKCO_TK (TK_CO_I, TK_I, DELETED, LAST_UPDATE_TM, LAST_UPDATE_USER_AN) VALUES ('ZACE','ZACE5','N',NOW_GMT(),'SYSTEM');</v>
      </c>
    </row>
    <row r="7" spans="1:8" ht="30" x14ac:dyDescent="0.25">
      <c r="A7" s="16" t="s">
        <v>44</v>
      </c>
      <c r="B7" s="16" t="s">
        <v>45</v>
      </c>
      <c r="C7" s="17" t="s">
        <v>46</v>
      </c>
      <c r="D7" s="17" t="s">
        <v>84</v>
      </c>
      <c r="E7" s="17" t="s">
        <v>42</v>
      </c>
      <c r="F7" s="19" t="s">
        <v>90</v>
      </c>
      <c r="G7" s="17" t="s">
        <v>47</v>
      </c>
      <c r="H7" s="18" t="str">
        <f t="shared" si="0"/>
        <v>INSERT INTO TMS_TID_TKCO_TK (TK_CO_I, TK_I, DELETED, LAST_UPDATE_TM, LAST_UPDATE_USER_AN) VALUES ('ZACE','ZACE6','N',NOW_GMT(),'SYSTEM');</v>
      </c>
    </row>
    <row r="8" spans="1:8" ht="30" x14ac:dyDescent="0.25">
      <c r="A8" s="16" t="s">
        <v>44</v>
      </c>
      <c r="B8" s="16" t="s">
        <v>45</v>
      </c>
      <c r="C8" s="17" t="s">
        <v>46</v>
      </c>
      <c r="D8" s="17" t="s">
        <v>84</v>
      </c>
      <c r="E8" s="17" t="s">
        <v>42</v>
      </c>
      <c r="F8" s="19" t="s">
        <v>91</v>
      </c>
      <c r="G8" s="17" t="s">
        <v>47</v>
      </c>
      <c r="H8" s="18" t="str">
        <f t="shared" si="0"/>
        <v>INSERT INTO TMS_TID_TKCO_TK (TK_CO_I, TK_I, DELETED, LAST_UPDATE_TM, LAST_UPDATE_USER_AN) VALUES ('ZACE','ZACE7','N',NOW_GMT(),'SYSTEM');</v>
      </c>
    </row>
    <row r="9" spans="1:8" ht="30" x14ac:dyDescent="0.25">
      <c r="A9" s="16" t="s">
        <v>44</v>
      </c>
      <c r="B9" s="16" t="s">
        <v>45</v>
      </c>
      <c r="C9" s="17" t="s">
        <v>46</v>
      </c>
      <c r="D9" s="17" t="s">
        <v>84</v>
      </c>
      <c r="E9" s="17" t="s">
        <v>42</v>
      </c>
      <c r="F9" s="19" t="s">
        <v>92</v>
      </c>
      <c r="G9" s="17" t="s">
        <v>47</v>
      </c>
      <c r="H9" s="18" t="str">
        <f t="shared" si="0"/>
        <v>INSERT INTO TMS_TID_TKCO_TK (TK_CO_I, TK_I, DELETED, LAST_UPDATE_TM, LAST_UPDATE_USER_AN) VALUES ('ZACE','ZACE8','N',NOW_GMT(),'SYSTEM');</v>
      </c>
    </row>
    <row r="10" spans="1:8" ht="30" x14ac:dyDescent="0.25">
      <c r="A10" s="16" t="s">
        <v>44</v>
      </c>
      <c r="B10" s="16" t="s">
        <v>45</v>
      </c>
      <c r="C10" s="17" t="s">
        <v>46</v>
      </c>
      <c r="D10" s="17" t="s">
        <v>84</v>
      </c>
      <c r="E10" s="17" t="s">
        <v>42</v>
      </c>
      <c r="F10" s="19" t="s">
        <v>93</v>
      </c>
      <c r="G10" s="17" t="s">
        <v>47</v>
      </c>
      <c r="H10" s="18" t="str">
        <f t="shared" si="0"/>
        <v>INSERT INTO TMS_TID_TKCO_TK (TK_CO_I, TK_I, DELETED, LAST_UPDATE_TM, LAST_UPDATE_USER_AN) VALUES ('ZACE','ZACE9','N',NOW_GMT(),'SYSTEM');</v>
      </c>
    </row>
    <row r="11" spans="1:8" ht="30" x14ac:dyDescent="0.25">
      <c r="A11" s="16" t="s">
        <v>44</v>
      </c>
      <c r="B11" s="16" t="s">
        <v>45</v>
      </c>
      <c r="C11" s="17" t="s">
        <v>46</v>
      </c>
      <c r="D11" s="17" t="s">
        <v>84</v>
      </c>
      <c r="E11" s="17" t="s">
        <v>42</v>
      </c>
      <c r="F11" s="19" t="s">
        <v>94</v>
      </c>
      <c r="G11" s="17" t="s">
        <v>47</v>
      </c>
      <c r="H11" s="18" t="str">
        <f t="shared" si="0"/>
        <v>INSERT INTO TMS_TID_TKCO_TK (TK_CO_I, TK_I, DELETED, LAST_UPDATE_TM, LAST_UPDATE_USER_AN) VALUES ('ZACE','ZACE10','N',NOW_GMT(),'SYSTEM');</v>
      </c>
    </row>
    <row r="12" spans="1:8" ht="30" x14ac:dyDescent="0.25">
      <c r="A12" s="16" t="s">
        <v>44</v>
      </c>
      <c r="B12" s="16" t="s">
        <v>45</v>
      </c>
      <c r="C12" s="17" t="s">
        <v>46</v>
      </c>
      <c r="D12" s="17" t="s">
        <v>84</v>
      </c>
      <c r="E12" s="17" t="s">
        <v>42</v>
      </c>
      <c r="F12" s="19" t="s">
        <v>95</v>
      </c>
      <c r="G12" s="17" t="s">
        <v>47</v>
      </c>
      <c r="H12" s="18" t="str">
        <f t="shared" si="0"/>
        <v>INSERT INTO TMS_TID_TKCO_TK (TK_CO_I, TK_I, DELETED, LAST_UPDATE_TM, LAST_UPDATE_USER_AN) VALUES ('ZACE','ZACE11','N',NOW_GMT(),'SYSTEM');</v>
      </c>
    </row>
    <row r="13" spans="1:8" ht="30" x14ac:dyDescent="0.25">
      <c r="A13" s="16" t="s">
        <v>44</v>
      </c>
      <c r="B13" s="16" t="s">
        <v>45</v>
      </c>
      <c r="C13" s="17" t="s">
        <v>46</v>
      </c>
      <c r="D13" s="17" t="s">
        <v>84</v>
      </c>
      <c r="E13" s="17" t="s">
        <v>42</v>
      </c>
      <c r="F13" s="19" t="s">
        <v>96</v>
      </c>
      <c r="G13" s="17" t="s">
        <v>47</v>
      </c>
      <c r="H13" s="18" t="str">
        <f t="shared" si="0"/>
        <v>INSERT INTO TMS_TID_TKCO_TK (TK_CO_I, TK_I, DELETED, LAST_UPDATE_TM, LAST_UPDATE_USER_AN) VALUES ('ZACE','ZACE12','N',NOW_GMT(),'SYSTEM');</v>
      </c>
    </row>
    <row r="14" spans="1:8" ht="30" x14ac:dyDescent="0.25">
      <c r="A14" s="16" t="s">
        <v>44</v>
      </c>
      <c r="B14" s="16" t="s">
        <v>45</v>
      </c>
      <c r="C14" s="17" t="s">
        <v>46</v>
      </c>
      <c r="D14" s="17" t="s">
        <v>84</v>
      </c>
      <c r="E14" s="17" t="s">
        <v>42</v>
      </c>
      <c r="F14" s="19" t="s">
        <v>97</v>
      </c>
      <c r="G14" s="17" t="s">
        <v>47</v>
      </c>
      <c r="H14" s="18" t="str">
        <f t="shared" si="0"/>
        <v>INSERT INTO TMS_TID_TKCO_TK (TK_CO_I, TK_I, DELETED, LAST_UPDATE_TM, LAST_UPDATE_USER_AN) VALUES ('ZACE','ZACE13','N',NOW_GMT(),'SYSTEM');</v>
      </c>
    </row>
    <row r="15" spans="1:8" ht="30" x14ac:dyDescent="0.25">
      <c r="A15" s="16" t="s">
        <v>44</v>
      </c>
      <c r="B15" s="16" t="s">
        <v>45</v>
      </c>
      <c r="C15" s="17" t="s">
        <v>46</v>
      </c>
      <c r="D15" s="17" t="s">
        <v>84</v>
      </c>
      <c r="E15" s="17" t="s">
        <v>42</v>
      </c>
      <c r="F15" s="19" t="s">
        <v>98</v>
      </c>
      <c r="G15" s="17" t="s">
        <v>47</v>
      </c>
      <c r="H15" s="18" t="str">
        <f t="shared" si="0"/>
        <v>INSERT INTO TMS_TID_TKCO_TK (TK_CO_I, TK_I, DELETED, LAST_UPDATE_TM, LAST_UPDATE_USER_AN) VALUES ('ZACE','ZACE14','N',NOW_GMT(),'SYSTEM');</v>
      </c>
    </row>
    <row r="16" spans="1:8" ht="30" x14ac:dyDescent="0.25">
      <c r="A16" s="16" t="s">
        <v>44</v>
      </c>
      <c r="B16" s="16" t="s">
        <v>45</v>
      </c>
      <c r="C16" s="17" t="s">
        <v>46</v>
      </c>
      <c r="D16" s="17" t="s">
        <v>84</v>
      </c>
      <c r="E16" s="17" t="s">
        <v>42</v>
      </c>
      <c r="F16" s="19" t="s">
        <v>99</v>
      </c>
      <c r="G16" s="17" t="s">
        <v>47</v>
      </c>
      <c r="H16" s="18" t="str">
        <f t="shared" si="0"/>
        <v>INSERT INTO TMS_TID_TKCO_TK (TK_CO_I, TK_I, DELETED, LAST_UPDATE_TM, LAST_UPDATE_USER_AN) VALUES ('ZACE','ZACE15','N',NOW_GMT(),'SYSTEM');</v>
      </c>
    </row>
    <row r="17" spans="1:8" ht="30" x14ac:dyDescent="0.25">
      <c r="A17" s="16" t="s">
        <v>44</v>
      </c>
      <c r="B17" s="16" t="s">
        <v>45</v>
      </c>
      <c r="C17" s="17" t="s">
        <v>46</v>
      </c>
      <c r="D17" s="17" t="s">
        <v>84</v>
      </c>
      <c r="E17" s="17" t="s">
        <v>42</v>
      </c>
      <c r="F17" s="19" t="s">
        <v>100</v>
      </c>
      <c r="G17" s="17" t="s">
        <v>47</v>
      </c>
      <c r="H17" s="18" t="str">
        <f t="shared" si="0"/>
        <v>INSERT INTO TMS_TID_TKCO_TK (TK_CO_I, TK_I, DELETED, LAST_UPDATE_TM, LAST_UPDATE_USER_AN) VALUES ('ZACE','ZACE16','N',NOW_GMT(),'SYSTEM');</v>
      </c>
    </row>
    <row r="18" spans="1:8" ht="30" x14ac:dyDescent="0.25">
      <c r="A18" s="16" t="s">
        <v>44</v>
      </c>
      <c r="B18" s="16" t="s">
        <v>45</v>
      </c>
      <c r="C18" s="17" t="s">
        <v>46</v>
      </c>
      <c r="D18" s="17" t="s">
        <v>84</v>
      </c>
      <c r="E18" s="17" t="s">
        <v>42</v>
      </c>
      <c r="F18" s="19" t="s">
        <v>101</v>
      </c>
      <c r="G18" s="17" t="s">
        <v>47</v>
      </c>
      <c r="H18" s="18" t="str">
        <f t="shared" si="0"/>
        <v>INSERT INTO TMS_TID_TKCO_TK (TK_CO_I, TK_I, DELETED, LAST_UPDATE_TM, LAST_UPDATE_USER_AN) VALUES ('ZACE','ZACE17','N',NOW_GMT(),'SYSTEM');</v>
      </c>
    </row>
    <row r="19" spans="1:8" ht="30" x14ac:dyDescent="0.25">
      <c r="A19" s="16" t="s">
        <v>44</v>
      </c>
      <c r="B19" s="16" t="s">
        <v>45</v>
      </c>
      <c r="C19" s="17" t="s">
        <v>46</v>
      </c>
      <c r="D19" s="17" t="s">
        <v>84</v>
      </c>
      <c r="E19" s="17" t="s">
        <v>42</v>
      </c>
      <c r="F19" s="19" t="s">
        <v>102</v>
      </c>
      <c r="G19" s="17" t="s">
        <v>47</v>
      </c>
      <c r="H19" s="18" t="str">
        <f t="shared" si="0"/>
        <v>INSERT INTO TMS_TID_TKCO_TK (TK_CO_I, TK_I, DELETED, LAST_UPDATE_TM, LAST_UPDATE_USER_AN) VALUES ('ZACE','ZACE18','N',NOW_GMT(),'SYSTEM');</v>
      </c>
    </row>
    <row r="20" spans="1:8" ht="30" x14ac:dyDescent="0.25">
      <c r="A20" s="16" t="s">
        <v>44</v>
      </c>
      <c r="B20" s="16" t="s">
        <v>45</v>
      </c>
      <c r="C20" s="17" t="s">
        <v>46</v>
      </c>
      <c r="D20" s="17" t="s">
        <v>84</v>
      </c>
      <c r="E20" s="17" t="s">
        <v>42</v>
      </c>
      <c r="F20" s="19" t="s">
        <v>103</v>
      </c>
      <c r="G20" s="17" t="s">
        <v>47</v>
      </c>
      <c r="H20" s="18" t="str">
        <f t="shared" si="0"/>
        <v>INSERT INTO TMS_TID_TKCO_TK (TK_CO_I, TK_I, DELETED, LAST_UPDATE_TM, LAST_UPDATE_USER_AN) VALUES ('ZACE','ZACE19','N',NOW_GMT(),'SYSTEM');</v>
      </c>
    </row>
    <row r="21" spans="1:8" ht="30" x14ac:dyDescent="0.25">
      <c r="A21" s="16" t="s">
        <v>44</v>
      </c>
      <c r="B21" s="16" t="s">
        <v>45</v>
      </c>
      <c r="C21" s="17" t="s">
        <v>46</v>
      </c>
      <c r="D21" s="17" t="s">
        <v>84</v>
      </c>
      <c r="E21" s="17" t="s">
        <v>42</v>
      </c>
      <c r="F21" s="19" t="s">
        <v>104</v>
      </c>
      <c r="G21" s="17" t="s">
        <v>47</v>
      </c>
      <c r="H21" s="18" t="str">
        <f t="shared" si="0"/>
        <v>INSERT INTO TMS_TID_TKCO_TK (TK_CO_I, TK_I, DELETED, LAST_UPDATE_TM, LAST_UPDATE_USER_AN) VALUES ('ZACE','ZACE20','N',NOW_GMT(),'SYSTEM');</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1"/>
  <sheetViews>
    <sheetView workbookViewId="0">
      <selection activeCell="F2" sqref="F2"/>
    </sheetView>
  </sheetViews>
  <sheetFormatPr defaultRowHeight="15" x14ac:dyDescent="0.25"/>
  <cols>
    <col min="1" max="1" width="59.140625" style="12" customWidth="1"/>
    <col min="2" max="2" width="13.85546875" style="12" customWidth="1"/>
    <col min="3" max="3" width="3.5703125" style="12" customWidth="1"/>
    <col min="4" max="4" width="13.85546875" style="12" customWidth="1"/>
    <col min="5" max="5" width="3.5703125" style="12" customWidth="1"/>
    <col min="6" max="6" width="13.85546875" style="12" customWidth="1"/>
    <col min="7" max="7" width="24.85546875" style="12" customWidth="1"/>
    <col min="8" max="8" width="74.7109375" style="12" customWidth="1"/>
    <col min="9" max="16384" width="9.140625" style="12"/>
  </cols>
  <sheetData>
    <row r="1" spans="1:12" ht="37.5" x14ac:dyDescent="0.3">
      <c r="A1" s="21"/>
      <c r="B1" s="9" t="s">
        <v>31</v>
      </c>
      <c r="C1" s="8"/>
      <c r="D1" s="8" t="s">
        <v>34</v>
      </c>
      <c r="E1" s="8"/>
      <c r="F1" s="8" t="s">
        <v>35</v>
      </c>
      <c r="G1" s="7"/>
      <c r="H1" s="8" t="s">
        <v>40</v>
      </c>
      <c r="I1" s="22"/>
      <c r="J1" s="22"/>
      <c r="K1" s="22"/>
      <c r="L1" s="22"/>
    </row>
    <row r="2" spans="1:12" ht="45" x14ac:dyDescent="0.25">
      <c r="A2" s="12" t="s">
        <v>48</v>
      </c>
      <c r="B2" s="23" t="s">
        <v>84</v>
      </c>
      <c r="C2" s="13" t="s">
        <v>42</v>
      </c>
      <c r="D2" s="12" t="s">
        <v>85</v>
      </c>
      <c r="E2" s="13" t="s">
        <v>42</v>
      </c>
      <c r="F2" s="12" t="s">
        <v>85</v>
      </c>
      <c r="G2" s="13" t="s">
        <v>49</v>
      </c>
      <c r="H2" s="12" t="str">
        <f>CONCATENATE(A2,B2,C2,D2,E2,F2,G2)</f>
        <v>INSERT INTO TMS_TID_DRVR (TK_CO_I, ID_CARD_I, DRVR_N, LST_UPDT_D, PARTNER_TX_D, DELETED, LAST_UPDATE_USER_AN) VALUES ('ZACE','ZACE1','ZACE1',NOW_GMT(), NOW_GMT(), 'N', 'SYSTEM');</v>
      </c>
    </row>
    <row r="3" spans="1:12" ht="45" x14ac:dyDescent="0.25">
      <c r="A3" s="12" t="s">
        <v>48</v>
      </c>
      <c r="B3" s="23" t="s">
        <v>84</v>
      </c>
      <c r="C3" s="13" t="s">
        <v>42</v>
      </c>
      <c r="D3" s="12" t="s">
        <v>86</v>
      </c>
      <c r="E3" s="13" t="s">
        <v>42</v>
      </c>
      <c r="F3" s="12" t="s">
        <v>86</v>
      </c>
      <c r="G3" s="13" t="s">
        <v>49</v>
      </c>
      <c r="H3" s="12" t="str">
        <f t="shared" ref="H3:H21" si="0">CONCATENATE(A3,B3,C3,D3,E3,F3,G3)</f>
        <v>INSERT INTO TMS_TID_DRVR (TK_CO_I, ID_CARD_I, DRVR_N, LST_UPDT_D, PARTNER_TX_D, DELETED, LAST_UPDATE_USER_AN) VALUES ('ZACE','ZACE2','ZACE2',NOW_GMT(), NOW_GMT(), 'N', 'SYSTEM');</v>
      </c>
    </row>
    <row r="4" spans="1:12" ht="45" x14ac:dyDescent="0.25">
      <c r="A4" s="12" t="s">
        <v>48</v>
      </c>
      <c r="B4" s="23" t="s">
        <v>84</v>
      </c>
      <c r="C4" s="13" t="s">
        <v>42</v>
      </c>
      <c r="D4" s="12" t="s">
        <v>87</v>
      </c>
      <c r="E4" s="13" t="s">
        <v>42</v>
      </c>
      <c r="F4" s="12" t="s">
        <v>87</v>
      </c>
      <c r="G4" s="13" t="s">
        <v>49</v>
      </c>
      <c r="H4" s="12" t="str">
        <f t="shared" si="0"/>
        <v>INSERT INTO TMS_TID_DRVR (TK_CO_I, ID_CARD_I, DRVR_N, LST_UPDT_D, PARTNER_TX_D, DELETED, LAST_UPDATE_USER_AN) VALUES ('ZACE','ZACE3','ZACE3',NOW_GMT(), NOW_GMT(), 'N', 'SYSTEM');</v>
      </c>
    </row>
    <row r="5" spans="1:12" ht="45" x14ac:dyDescent="0.25">
      <c r="A5" s="12" t="s">
        <v>48</v>
      </c>
      <c r="B5" s="23" t="s">
        <v>84</v>
      </c>
      <c r="C5" s="13" t="s">
        <v>42</v>
      </c>
      <c r="D5" s="12" t="s">
        <v>88</v>
      </c>
      <c r="E5" s="13" t="s">
        <v>42</v>
      </c>
      <c r="F5" s="12" t="s">
        <v>88</v>
      </c>
      <c r="G5" s="13" t="s">
        <v>49</v>
      </c>
      <c r="H5" s="12" t="str">
        <f t="shared" si="0"/>
        <v>INSERT INTO TMS_TID_DRVR (TK_CO_I, ID_CARD_I, DRVR_N, LST_UPDT_D, PARTNER_TX_D, DELETED, LAST_UPDATE_USER_AN) VALUES ('ZACE','ZACE4','ZACE4',NOW_GMT(), NOW_GMT(), 'N', 'SYSTEM');</v>
      </c>
    </row>
    <row r="6" spans="1:12" ht="45" x14ac:dyDescent="0.25">
      <c r="A6" s="12" t="s">
        <v>48</v>
      </c>
      <c r="B6" s="23" t="s">
        <v>84</v>
      </c>
      <c r="C6" s="13" t="s">
        <v>42</v>
      </c>
      <c r="D6" s="12" t="s">
        <v>89</v>
      </c>
      <c r="E6" s="13" t="s">
        <v>42</v>
      </c>
      <c r="F6" s="12" t="s">
        <v>89</v>
      </c>
      <c r="G6" s="13" t="s">
        <v>49</v>
      </c>
      <c r="H6" s="12" t="str">
        <f t="shared" si="0"/>
        <v>INSERT INTO TMS_TID_DRVR (TK_CO_I, ID_CARD_I, DRVR_N, LST_UPDT_D, PARTNER_TX_D, DELETED, LAST_UPDATE_USER_AN) VALUES ('ZACE','ZACE5','ZACE5',NOW_GMT(), NOW_GMT(), 'N', 'SYSTEM');</v>
      </c>
    </row>
    <row r="7" spans="1:12" ht="45" x14ac:dyDescent="0.25">
      <c r="A7" s="12" t="s">
        <v>48</v>
      </c>
      <c r="B7" s="23" t="s">
        <v>84</v>
      </c>
      <c r="C7" s="13" t="s">
        <v>42</v>
      </c>
      <c r="D7" s="12" t="s">
        <v>90</v>
      </c>
      <c r="E7" s="13" t="s">
        <v>42</v>
      </c>
      <c r="F7" s="12" t="s">
        <v>90</v>
      </c>
      <c r="G7" s="13" t="s">
        <v>49</v>
      </c>
      <c r="H7" s="12" t="str">
        <f t="shared" si="0"/>
        <v>INSERT INTO TMS_TID_DRVR (TK_CO_I, ID_CARD_I, DRVR_N, LST_UPDT_D, PARTNER_TX_D, DELETED, LAST_UPDATE_USER_AN) VALUES ('ZACE','ZACE6','ZACE6',NOW_GMT(), NOW_GMT(), 'N', 'SYSTEM');</v>
      </c>
    </row>
    <row r="8" spans="1:12" ht="45" x14ac:dyDescent="0.25">
      <c r="A8" s="12" t="s">
        <v>48</v>
      </c>
      <c r="B8" s="23" t="s">
        <v>84</v>
      </c>
      <c r="C8" s="13" t="s">
        <v>42</v>
      </c>
      <c r="D8" s="12" t="s">
        <v>91</v>
      </c>
      <c r="E8" s="13" t="s">
        <v>42</v>
      </c>
      <c r="F8" s="12" t="s">
        <v>91</v>
      </c>
      <c r="G8" s="13" t="s">
        <v>49</v>
      </c>
      <c r="H8" s="12" t="str">
        <f t="shared" si="0"/>
        <v>INSERT INTO TMS_TID_DRVR (TK_CO_I, ID_CARD_I, DRVR_N, LST_UPDT_D, PARTNER_TX_D, DELETED, LAST_UPDATE_USER_AN) VALUES ('ZACE','ZACE7','ZACE7',NOW_GMT(), NOW_GMT(), 'N', 'SYSTEM');</v>
      </c>
    </row>
    <row r="9" spans="1:12" ht="45" x14ac:dyDescent="0.25">
      <c r="A9" s="12" t="s">
        <v>48</v>
      </c>
      <c r="B9" s="23" t="s">
        <v>84</v>
      </c>
      <c r="C9" s="13" t="s">
        <v>42</v>
      </c>
      <c r="D9" s="12" t="s">
        <v>92</v>
      </c>
      <c r="E9" s="13" t="s">
        <v>42</v>
      </c>
      <c r="F9" s="12" t="s">
        <v>92</v>
      </c>
      <c r="G9" s="13" t="s">
        <v>49</v>
      </c>
      <c r="H9" s="12" t="str">
        <f t="shared" si="0"/>
        <v>INSERT INTO TMS_TID_DRVR (TK_CO_I, ID_CARD_I, DRVR_N, LST_UPDT_D, PARTNER_TX_D, DELETED, LAST_UPDATE_USER_AN) VALUES ('ZACE','ZACE8','ZACE8',NOW_GMT(), NOW_GMT(), 'N', 'SYSTEM');</v>
      </c>
    </row>
    <row r="10" spans="1:12" ht="45" x14ac:dyDescent="0.25">
      <c r="A10" s="12" t="s">
        <v>48</v>
      </c>
      <c r="B10" s="23" t="s">
        <v>84</v>
      </c>
      <c r="C10" s="13" t="s">
        <v>42</v>
      </c>
      <c r="D10" s="12" t="s">
        <v>93</v>
      </c>
      <c r="E10" s="13" t="s">
        <v>42</v>
      </c>
      <c r="F10" s="12" t="s">
        <v>93</v>
      </c>
      <c r="G10" s="13" t="s">
        <v>49</v>
      </c>
      <c r="H10" s="12" t="str">
        <f t="shared" si="0"/>
        <v>INSERT INTO TMS_TID_DRVR (TK_CO_I, ID_CARD_I, DRVR_N, LST_UPDT_D, PARTNER_TX_D, DELETED, LAST_UPDATE_USER_AN) VALUES ('ZACE','ZACE9','ZACE9',NOW_GMT(), NOW_GMT(), 'N', 'SYSTEM');</v>
      </c>
    </row>
    <row r="11" spans="1:12" ht="45" x14ac:dyDescent="0.25">
      <c r="A11" s="12" t="s">
        <v>48</v>
      </c>
      <c r="B11" s="23" t="s">
        <v>84</v>
      </c>
      <c r="C11" s="13" t="s">
        <v>42</v>
      </c>
      <c r="D11" s="12" t="s">
        <v>94</v>
      </c>
      <c r="E11" s="13" t="s">
        <v>42</v>
      </c>
      <c r="F11" s="12" t="s">
        <v>94</v>
      </c>
      <c r="G11" s="13" t="s">
        <v>49</v>
      </c>
      <c r="H11" s="12" t="str">
        <f t="shared" si="0"/>
        <v>INSERT INTO TMS_TID_DRVR (TK_CO_I, ID_CARD_I, DRVR_N, LST_UPDT_D, PARTNER_TX_D, DELETED, LAST_UPDATE_USER_AN) VALUES ('ZACE','ZACE10','ZACE10',NOW_GMT(), NOW_GMT(), 'N', 'SYSTEM');</v>
      </c>
    </row>
    <row r="12" spans="1:12" ht="45" x14ac:dyDescent="0.25">
      <c r="A12" s="12" t="s">
        <v>48</v>
      </c>
      <c r="B12" s="23" t="s">
        <v>84</v>
      </c>
      <c r="C12" s="13" t="s">
        <v>42</v>
      </c>
      <c r="D12" s="12" t="s">
        <v>95</v>
      </c>
      <c r="E12" s="13" t="s">
        <v>42</v>
      </c>
      <c r="F12" s="12" t="s">
        <v>95</v>
      </c>
      <c r="G12" s="13" t="s">
        <v>49</v>
      </c>
      <c r="H12" s="12" t="str">
        <f t="shared" si="0"/>
        <v>INSERT INTO TMS_TID_DRVR (TK_CO_I, ID_CARD_I, DRVR_N, LST_UPDT_D, PARTNER_TX_D, DELETED, LAST_UPDATE_USER_AN) VALUES ('ZACE','ZACE11','ZACE11',NOW_GMT(), NOW_GMT(), 'N', 'SYSTEM');</v>
      </c>
    </row>
    <row r="13" spans="1:12" ht="45" x14ac:dyDescent="0.25">
      <c r="A13" s="12" t="s">
        <v>48</v>
      </c>
      <c r="B13" s="23" t="s">
        <v>84</v>
      </c>
      <c r="C13" s="13" t="s">
        <v>42</v>
      </c>
      <c r="D13" s="12" t="s">
        <v>96</v>
      </c>
      <c r="E13" s="13" t="s">
        <v>42</v>
      </c>
      <c r="F13" s="12" t="s">
        <v>96</v>
      </c>
      <c r="G13" s="13" t="s">
        <v>49</v>
      </c>
      <c r="H13" s="12" t="str">
        <f t="shared" si="0"/>
        <v>INSERT INTO TMS_TID_DRVR (TK_CO_I, ID_CARD_I, DRVR_N, LST_UPDT_D, PARTNER_TX_D, DELETED, LAST_UPDATE_USER_AN) VALUES ('ZACE','ZACE12','ZACE12',NOW_GMT(), NOW_GMT(), 'N', 'SYSTEM');</v>
      </c>
    </row>
    <row r="14" spans="1:12" ht="45" x14ac:dyDescent="0.25">
      <c r="A14" s="12" t="s">
        <v>48</v>
      </c>
      <c r="B14" s="23" t="s">
        <v>84</v>
      </c>
      <c r="C14" s="13" t="s">
        <v>42</v>
      </c>
      <c r="D14" s="12" t="s">
        <v>97</v>
      </c>
      <c r="E14" s="13" t="s">
        <v>42</v>
      </c>
      <c r="F14" s="12" t="s">
        <v>97</v>
      </c>
      <c r="G14" s="13" t="s">
        <v>49</v>
      </c>
      <c r="H14" s="12" t="str">
        <f t="shared" si="0"/>
        <v>INSERT INTO TMS_TID_DRVR (TK_CO_I, ID_CARD_I, DRVR_N, LST_UPDT_D, PARTNER_TX_D, DELETED, LAST_UPDATE_USER_AN) VALUES ('ZACE','ZACE13','ZACE13',NOW_GMT(), NOW_GMT(), 'N', 'SYSTEM');</v>
      </c>
    </row>
    <row r="15" spans="1:12" ht="45" x14ac:dyDescent="0.25">
      <c r="A15" s="12" t="s">
        <v>48</v>
      </c>
      <c r="B15" s="23" t="s">
        <v>84</v>
      </c>
      <c r="C15" s="13" t="s">
        <v>42</v>
      </c>
      <c r="D15" s="12" t="s">
        <v>98</v>
      </c>
      <c r="E15" s="13" t="s">
        <v>42</v>
      </c>
      <c r="F15" s="12" t="s">
        <v>98</v>
      </c>
      <c r="G15" s="13" t="s">
        <v>49</v>
      </c>
      <c r="H15" s="12" t="str">
        <f t="shared" si="0"/>
        <v>INSERT INTO TMS_TID_DRVR (TK_CO_I, ID_CARD_I, DRVR_N, LST_UPDT_D, PARTNER_TX_D, DELETED, LAST_UPDATE_USER_AN) VALUES ('ZACE','ZACE14','ZACE14',NOW_GMT(), NOW_GMT(), 'N', 'SYSTEM');</v>
      </c>
    </row>
    <row r="16" spans="1:12" ht="45" x14ac:dyDescent="0.25">
      <c r="A16" s="12" t="s">
        <v>48</v>
      </c>
      <c r="B16" s="23" t="s">
        <v>84</v>
      </c>
      <c r="C16" s="13" t="s">
        <v>42</v>
      </c>
      <c r="D16" s="12" t="s">
        <v>99</v>
      </c>
      <c r="E16" s="13" t="s">
        <v>42</v>
      </c>
      <c r="F16" s="12" t="s">
        <v>99</v>
      </c>
      <c r="G16" s="13" t="s">
        <v>49</v>
      </c>
      <c r="H16" s="12" t="str">
        <f t="shared" si="0"/>
        <v>INSERT INTO TMS_TID_DRVR (TK_CO_I, ID_CARD_I, DRVR_N, LST_UPDT_D, PARTNER_TX_D, DELETED, LAST_UPDATE_USER_AN) VALUES ('ZACE','ZACE15','ZACE15',NOW_GMT(), NOW_GMT(), 'N', 'SYSTEM');</v>
      </c>
    </row>
    <row r="17" spans="1:8" ht="45" x14ac:dyDescent="0.25">
      <c r="A17" s="12" t="s">
        <v>48</v>
      </c>
      <c r="B17" s="23" t="s">
        <v>84</v>
      </c>
      <c r="C17" s="13" t="s">
        <v>42</v>
      </c>
      <c r="D17" s="12" t="s">
        <v>100</v>
      </c>
      <c r="E17" s="13" t="s">
        <v>42</v>
      </c>
      <c r="F17" s="12" t="s">
        <v>100</v>
      </c>
      <c r="G17" s="13" t="s">
        <v>49</v>
      </c>
      <c r="H17" s="12" t="str">
        <f t="shared" si="0"/>
        <v>INSERT INTO TMS_TID_DRVR (TK_CO_I, ID_CARD_I, DRVR_N, LST_UPDT_D, PARTNER_TX_D, DELETED, LAST_UPDATE_USER_AN) VALUES ('ZACE','ZACE16','ZACE16',NOW_GMT(), NOW_GMT(), 'N', 'SYSTEM');</v>
      </c>
    </row>
    <row r="18" spans="1:8" ht="45" x14ac:dyDescent="0.25">
      <c r="A18" s="12" t="s">
        <v>48</v>
      </c>
      <c r="B18" s="23" t="s">
        <v>84</v>
      </c>
      <c r="C18" s="13" t="s">
        <v>42</v>
      </c>
      <c r="D18" s="12" t="s">
        <v>101</v>
      </c>
      <c r="E18" s="13" t="s">
        <v>42</v>
      </c>
      <c r="F18" s="12" t="s">
        <v>101</v>
      </c>
      <c r="G18" s="13" t="s">
        <v>49</v>
      </c>
      <c r="H18" s="12" t="str">
        <f t="shared" si="0"/>
        <v>INSERT INTO TMS_TID_DRVR (TK_CO_I, ID_CARD_I, DRVR_N, LST_UPDT_D, PARTNER_TX_D, DELETED, LAST_UPDATE_USER_AN) VALUES ('ZACE','ZACE17','ZACE17',NOW_GMT(), NOW_GMT(), 'N', 'SYSTEM');</v>
      </c>
    </row>
    <row r="19" spans="1:8" ht="45" x14ac:dyDescent="0.25">
      <c r="A19" s="12" t="s">
        <v>48</v>
      </c>
      <c r="B19" s="23" t="s">
        <v>84</v>
      </c>
      <c r="C19" s="13" t="s">
        <v>42</v>
      </c>
      <c r="D19" s="12" t="s">
        <v>102</v>
      </c>
      <c r="E19" s="13" t="s">
        <v>42</v>
      </c>
      <c r="F19" s="12" t="s">
        <v>102</v>
      </c>
      <c r="G19" s="13" t="s">
        <v>49</v>
      </c>
      <c r="H19" s="12" t="str">
        <f t="shared" si="0"/>
        <v>INSERT INTO TMS_TID_DRVR (TK_CO_I, ID_CARD_I, DRVR_N, LST_UPDT_D, PARTNER_TX_D, DELETED, LAST_UPDATE_USER_AN) VALUES ('ZACE','ZACE18','ZACE18',NOW_GMT(), NOW_GMT(), 'N', 'SYSTEM');</v>
      </c>
    </row>
    <row r="20" spans="1:8" ht="45" x14ac:dyDescent="0.25">
      <c r="A20" s="12" t="s">
        <v>48</v>
      </c>
      <c r="B20" s="23" t="s">
        <v>84</v>
      </c>
      <c r="C20" s="13" t="s">
        <v>42</v>
      </c>
      <c r="D20" s="12" t="s">
        <v>103</v>
      </c>
      <c r="E20" s="13" t="s">
        <v>42</v>
      </c>
      <c r="F20" s="12" t="s">
        <v>103</v>
      </c>
      <c r="G20" s="13" t="s">
        <v>49</v>
      </c>
      <c r="H20" s="12" t="str">
        <f t="shared" si="0"/>
        <v>INSERT INTO TMS_TID_DRVR (TK_CO_I, ID_CARD_I, DRVR_N, LST_UPDT_D, PARTNER_TX_D, DELETED, LAST_UPDATE_USER_AN) VALUES ('ZACE','ZACE19','ZACE19',NOW_GMT(), NOW_GMT(), 'N', 'SYSTEM');</v>
      </c>
    </row>
    <row r="21" spans="1:8" ht="45" x14ac:dyDescent="0.25">
      <c r="A21" s="12" t="s">
        <v>48</v>
      </c>
      <c r="B21" s="23" t="s">
        <v>84</v>
      </c>
      <c r="C21" s="13" t="s">
        <v>42</v>
      </c>
      <c r="D21" s="12" t="s">
        <v>104</v>
      </c>
      <c r="E21" s="13" t="s">
        <v>42</v>
      </c>
      <c r="F21" s="12" t="s">
        <v>104</v>
      </c>
      <c r="G21" s="13" t="s">
        <v>49</v>
      </c>
      <c r="H21" s="12" t="str">
        <f t="shared" si="0"/>
        <v>INSERT INTO TMS_TID_DRVR (TK_CO_I, ID_CARD_I, DRVR_N, LST_UPDT_D, PARTNER_TX_D, DELETED, LAST_UPDATE_USER_AN) VALUES ('ZACE','ZACE20','ZACE20',NOW_GMT(), NOW_GMT(), 'N', 'SYSTEM');</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1"/>
  <sheetViews>
    <sheetView workbookViewId="0">
      <selection activeCell="F2" sqref="F2"/>
    </sheetView>
  </sheetViews>
  <sheetFormatPr defaultRowHeight="15" x14ac:dyDescent="0.25"/>
  <cols>
    <col min="1" max="1" width="50.5703125" style="19" customWidth="1"/>
    <col min="2" max="3" width="3.7109375" style="19" customWidth="1"/>
    <col min="4" max="4" width="18" style="19" customWidth="1"/>
    <col min="5" max="5" width="3.7109375" style="19" customWidth="1"/>
    <col min="6" max="6" width="18" style="19" customWidth="1"/>
    <col min="7" max="7" width="14.42578125" style="19" customWidth="1"/>
    <col min="8" max="8" width="67.140625" style="20" customWidth="1"/>
    <col min="9" max="16384" width="9.140625" style="19"/>
  </cols>
  <sheetData>
    <row r="1" spans="1:8" ht="18.75" x14ac:dyDescent="0.3">
      <c r="A1" s="14"/>
      <c r="B1" s="14"/>
      <c r="C1" s="14"/>
      <c r="D1" s="9" t="s">
        <v>31</v>
      </c>
      <c r="E1" s="9"/>
      <c r="F1" s="9" t="s">
        <v>34</v>
      </c>
      <c r="G1" s="14"/>
      <c r="H1" s="8" t="s">
        <v>40</v>
      </c>
    </row>
    <row r="2" spans="1:8" ht="45" x14ac:dyDescent="0.25">
      <c r="A2" s="19" t="s">
        <v>50</v>
      </c>
      <c r="B2" s="19" t="s">
        <v>45</v>
      </c>
      <c r="C2" s="23" t="s">
        <v>46</v>
      </c>
      <c r="D2" s="23" t="s">
        <v>84</v>
      </c>
      <c r="E2" s="23" t="s">
        <v>42</v>
      </c>
      <c r="F2" s="12" t="s">
        <v>85</v>
      </c>
      <c r="G2" s="23" t="s">
        <v>47</v>
      </c>
      <c r="H2" s="20" t="str">
        <f>CONCATENATE(A2,B2,C2,D2,E2,F2,G2)</f>
        <v>INSERT INTO TMS_TID_TKCO_DRVR (TK_CO_I, ID_CARD_I, DELETED, LAST_UPDATE_TM, LAST_UPDATE_USER_AN) VALUES ('ZACE','ZACE1','N',NOW_GMT(),'SYSTEM');</v>
      </c>
    </row>
    <row r="3" spans="1:8" ht="45" x14ac:dyDescent="0.25">
      <c r="A3" s="19" t="s">
        <v>50</v>
      </c>
      <c r="B3" s="19" t="s">
        <v>45</v>
      </c>
      <c r="C3" s="23" t="s">
        <v>46</v>
      </c>
      <c r="D3" s="23" t="s">
        <v>84</v>
      </c>
      <c r="E3" s="23" t="s">
        <v>42</v>
      </c>
      <c r="F3" s="19" t="s">
        <v>86</v>
      </c>
      <c r="G3" s="23" t="s">
        <v>47</v>
      </c>
      <c r="H3" s="20" t="str">
        <f t="shared" ref="H3:H21" si="0">CONCATENATE(A3,B3,C3,D3,E3,F3,G3)</f>
        <v>INSERT INTO TMS_TID_TKCO_DRVR (TK_CO_I, ID_CARD_I, DELETED, LAST_UPDATE_TM, LAST_UPDATE_USER_AN) VALUES ('ZACE','ZACE2','N',NOW_GMT(),'SYSTEM');</v>
      </c>
    </row>
    <row r="4" spans="1:8" ht="45" x14ac:dyDescent="0.25">
      <c r="A4" s="19" t="s">
        <v>50</v>
      </c>
      <c r="B4" s="19" t="s">
        <v>45</v>
      </c>
      <c r="C4" s="23" t="s">
        <v>46</v>
      </c>
      <c r="D4" s="23" t="s">
        <v>84</v>
      </c>
      <c r="E4" s="23" t="s">
        <v>42</v>
      </c>
      <c r="F4" s="19" t="s">
        <v>87</v>
      </c>
      <c r="G4" s="23" t="s">
        <v>47</v>
      </c>
      <c r="H4" s="20" t="str">
        <f t="shared" si="0"/>
        <v>INSERT INTO TMS_TID_TKCO_DRVR (TK_CO_I, ID_CARD_I, DELETED, LAST_UPDATE_TM, LAST_UPDATE_USER_AN) VALUES ('ZACE','ZACE3','N',NOW_GMT(),'SYSTEM');</v>
      </c>
    </row>
    <row r="5" spans="1:8" ht="45" x14ac:dyDescent="0.25">
      <c r="A5" s="19" t="s">
        <v>50</v>
      </c>
      <c r="B5" s="19" t="s">
        <v>45</v>
      </c>
      <c r="C5" s="23" t="s">
        <v>46</v>
      </c>
      <c r="D5" s="23" t="s">
        <v>84</v>
      </c>
      <c r="E5" s="23" t="s">
        <v>42</v>
      </c>
      <c r="F5" s="19" t="s">
        <v>88</v>
      </c>
      <c r="G5" s="23" t="s">
        <v>47</v>
      </c>
      <c r="H5" s="20" t="str">
        <f t="shared" si="0"/>
        <v>INSERT INTO TMS_TID_TKCO_DRVR (TK_CO_I, ID_CARD_I, DELETED, LAST_UPDATE_TM, LAST_UPDATE_USER_AN) VALUES ('ZACE','ZACE4','N',NOW_GMT(),'SYSTEM');</v>
      </c>
    </row>
    <row r="6" spans="1:8" ht="45" x14ac:dyDescent="0.25">
      <c r="A6" s="19" t="s">
        <v>50</v>
      </c>
      <c r="B6" s="19" t="s">
        <v>45</v>
      </c>
      <c r="C6" s="23" t="s">
        <v>46</v>
      </c>
      <c r="D6" s="23" t="s">
        <v>84</v>
      </c>
      <c r="E6" s="23" t="s">
        <v>42</v>
      </c>
      <c r="F6" s="19" t="s">
        <v>89</v>
      </c>
      <c r="G6" s="23" t="s">
        <v>47</v>
      </c>
      <c r="H6" s="20" t="str">
        <f t="shared" si="0"/>
        <v>INSERT INTO TMS_TID_TKCO_DRVR (TK_CO_I, ID_CARD_I, DELETED, LAST_UPDATE_TM, LAST_UPDATE_USER_AN) VALUES ('ZACE','ZACE5','N',NOW_GMT(),'SYSTEM');</v>
      </c>
    </row>
    <row r="7" spans="1:8" ht="45" x14ac:dyDescent="0.25">
      <c r="A7" s="19" t="s">
        <v>50</v>
      </c>
      <c r="B7" s="19" t="s">
        <v>45</v>
      </c>
      <c r="C7" s="23" t="s">
        <v>46</v>
      </c>
      <c r="D7" s="23" t="s">
        <v>84</v>
      </c>
      <c r="E7" s="23" t="s">
        <v>42</v>
      </c>
      <c r="F7" s="19" t="s">
        <v>90</v>
      </c>
      <c r="G7" s="23" t="s">
        <v>47</v>
      </c>
      <c r="H7" s="20" t="str">
        <f t="shared" si="0"/>
        <v>INSERT INTO TMS_TID_TKCO_DRVR (TK_CO_I, ID_CARD_I, DELETED, LAST_UPDATE_TM, LAST_UPDATE_USER_AN) VALUES ('ZACE','ZACE6','N',NOW_GMT(),'SYSTEM');</v>
      </c>
    </row>
    <row r="8" spans="1:8" ht="45" x14ac:dyDescent="0.25">
      <c r="A8" s="19" t="s">
        <v>50</v>
      </c>
      <c r="B8" s="19" t="s">
        <v>45</v>
      </c>
      <c r="C8" s="23" t="s">
        <v>46</v>
      </c>
      <c r="D8" s="23" t="s">
        <v>84</v>
      </c>
      <c r="E8" s="23" t="s">
        <v>42</v>
      </c>
      <c r="F8" s="19" t="s">
        <v>91</v>
      </c>
      <c r="G8" s="23" t="s">
        <v>47</v>
      </c>
      <c r="H8" s="20" t="str">
        <f t="shared" si="0"/>
        <v>INSERT INTO TMS_TID_TKCO_DRVR (TK_CO_I, ID_CARD_I, DELETED, LAST_UPDATE_TM, LAST_UPDATE_USER_AN) VALUES ('ZACE','ZACE7','N',NOW_GMT(),'SYSTEM');</v>
      </c>
    </row>
    <row r="9" spans="1:8" ht="45" x14ac:dyDescent="0.25">
      <c r="A9" s="19" t="s">
        <v>50</v>
      </c>
      <c r="B9" s="19" t="s">
        <v>45</v>
      </c>
      <c r="C9" s="23" t="s">
        <v>46</v>
      </c>
      <c r="D9" s="23" t="s">
        <v>84</v>
      </c>
      <c r="E9" s="23" t="s">
        <v>42</v>
      </c>
      <c r="F9" s="19" t="s">
        <v>92</v>
      </c>
      <c r="G9" s="23" t="s">
        <v>47</v>
      </c>
      <c r="H9" s="20" t="str">
        <f t="shared" si="0"/>
        <v>INSERT INTO TMS_TID_TKCO_DRVR (TK_CO_I, ID_CARD_I, DELETED, LAST_UPDATE_TM, LAST_UPDATE_USER_AN) VALUES ('ZACE','ZACE8','N',NOW_GMT(),'SYSTEM');</v>
      </c>
    </row>
    <row r="10" spans="1:8" ht="45" x14ac:dyDescent="0.25">
      <c r="A10" s="19" t="s">
        <v>50</v>
      </c>
      <c r="B10" s="19" t="s">
        <v>45</v>
      </c>
      <c r="C10" s="23" t="s">
        <v>46</v>
      </c>
      <c r="D10" s="23" t="s">
        <v>84</v>
      </c>
      <c r="E10" s="23" t="s">
        <v>42</v>
      </c>
      <c r="F10" s="19" t="s">
        <v>93</v>
      </c>
      <c r="G10" s="23" t="s">
        <v>47</v>
      </c>
      <c r="H10" s="20" t="str">
        <f t="shared" si="0"/>
        <v>INSERT INTO TMS_TID_TKCO_DRVR (TK_CO_I, ID_CARD_I, DELETED, LAST_UPDATE_TM, LAST_UPDATE_USER_AN) VALUES ('ZACE','ZACE9','N',NOW_GMT(),'SYSTEM');</v>
      </c>
    </row>
    <row r="11" spans="1:8" ht="45" x14ac:dyDescent="0.25">
      <c r="A11" s="19" t="s">
        <v>50</v>
      </c>
      <c r="B11" s="19" t="s">
        <v>45</v>
      </c>
      <c r="C11" s="23" t="s">
        <v>46</v>
      </c>
      <c r="D11" s="23" t="s">
        <v>84</v>
      </c>
      <c r="E11" s="23" t="s">
        <v>42</v>
      </c>
      <c r="F11" s="19" t="s">
        <v>94</v>
      </c>
      <c r="G11" s="23" t="s">
        <v>47</v>
      </c>
      <c r="H11" s="20" t="str">
        <f t="shared" si="0"/>
        <v>INSERT INTO TMS_TID_TKCO_DRVR (TK_CO_I, ID_CARD_I, DELETED, LAST_UPDATE_TM, LAST_UPDATE_USER_AN) VALUES ('ZACE','ZACE10','N',NOW_GMT(),'SYSTEM');</v>
      </c>
    </row>
    <row r="12" spans="1:8" ht="45" x14ac:dyDescent="0.25">
      <c r="A12" s="19" t="s">
        <v>50</v>
      </c>
      <c r="B12" s="19" t="s">
        <v>45</v>
      </c>
      <c r="C12" s="23" t="s">
        <v>46</v>
      </c>
      <c r="D12" s="23" t="s">
        <v>84</v>
      </c>
      <c r="E12" s="23" t="s">
        <v>42</v>
      </c>
      <c r="F12" s="19" t="s">
        <v>95</v>
      </c>
      <c r="G12" s="23" t="s">
        <v>47</v>
      </c>
      <c r="H12" s="20" t="str">
        <f t="shared" si="0"/>
        <v>INSERT INTO TMS_TID_TKCO_DRVR (TK_CO_I, ID_CARD_I, DELETED, LAST_UPDATE_TM, LAST_UPDATE_USER_AN) VALUES ('ZACE','ZACE11','N',NOW_GMT(),'SYSTEM');</v>
      </c>
    </row>
    <row r="13" spans="1:8" ht="45" x14ac:dyDescent="0.25">
      <c r="A13" s="19" t="s">
        <v>50</v>
      </c>
      <c r="B13" s="19" t="s">
        <v>45</v>
      </c>
      <c r="C13" s="23" t="s">
        <v>46</v>
      </c>
      <c r="D13" s="23" t="s">
        <v>84</v>
      </c>
      <c r="E13" s="23" t="s">
        <v>42</v>
      </c>
      <c r="F13" s="19" t="s">
        <v>96</v>
      </c>
      <c r="G13" s="23" t="s">
        <v>47</v>
      </c>
      <c r="H13" s="20" t="str">
        <f t="shared" si="0"/>
        <v>INSERT INTO TMS_TID_TKCO_DRVR (TK_CO_I, ID_CARD_I, DELETED, LAST_UPDATE_TM, LAST_UPDATE_USER_AN) VALUES ('ZACE','ZACE12','N',NOW_GMT(),'SYSTEM');</v>
      </c>
    </row>
    <row r="14" spans="1:8" ht="45" x14ac:dyDescent="0.25">
      <c r="A14" s="19" t="s">
        <v>50</v>
      </c>
      <c r="B14" s="19" t="s">
        <v>45</v>
      </c>
      <c r="C14" s="23" t="s">
        <v>46</v>
      </c>
      <c r="D14" s="23" t="s">
        <v>84</v>
      </c>
      <c r="E14" s="23" t="s">
        <v>42</v>
      </c>
      <c r="F14" s="19" t="s">
        <v>97</v>
      </c>
      <c r="G14" s="23" t="s">
        <v>47</v>
      </c>
      <c r="H14" s="20" t="str">
        <f t="shared" si="0"/>
        <v>INSERT INTO TMS_TID_TKCO_DRVR (TK_CO_I, ID_CARD_I, DELETED, LAST_UPDATE_TM, LAST_UPDATE_USER_AN) VALUES ('ZACE','ZACE13','N',NOW_GMT(),'SYSTEM');</v>
      </c>
    </row>
    <row r="15" spans="1:8" ht="45" x14ac:dyDescent="0.25">
      <c r="A15" s="19" t="s">
        <v>50</v>
      </c>
      <c r="B15" s="19" t="s">
        <v>45</v>
      </c>
      <c r="C15" s="23" t="s">
        <v>46</v>
      </c>
      <c r="D15" s="23" t="s">
        <v>84</v>
      </c>
      <c r="E15" s="23" t="s">
        <v>42</v>
      </c>
      <c r="F15" s="19" t="s">
        <v>98</v>
      </c>
      <c r="G15" s="23" t="s">
        <v>47</v>
      </c>
      <c r="H15" s="20" t="str">
        <f t="shared" si="0"/>
        <v>INSERT INTO TMS_TID_TKCO_DRVR (TK_CO_I, ID_CARD_I, DELETED, LAST_UPDATE_TM, LAST_UPDATE_USER_AN) VALUES ('ZACE','ZACE14','N',NOW_GMT(),'SYSTEM');</v>
      </c>
    </row>
    <row r="16" spans="1:8" ht="45" x14ac:dyDescent="0.25">
      <c r="A16" s="19" t="s">
        <v>50</v>
      </c>
      <c r="B16" s="19" t="s">
        <v>45</v>
      </c>
      <c r="C16" s="23" t="s">
        <v>46</v>
      </c>
      <c r="D16" s="23" t="s">
        <v>84</v>
      </c>
      <c r="E16" s="23" t="s">
        <v>42</v>
      </c>
      <c r="F16" s="19" t="s">
        <v>99</v>
      </c>
      <c r="G16" s="23" t="s">
        <v>47</v>
      </c>
      <c r="H16" s="20" t="str">
        <f t="shared" si="0"/>
        <v>INSERT INTO TMS_TID_TKCO_DRVR (TK_CO_I, ID_CARD_I, DELETED, LAST_UPDATE_TM, LAST_UPDATE_USER_AN) VALUES ('ZACE','ZACE15','N',NOW_GMT(),'SYSTEM');</v>
      </c>
    </row>
    <row r="17" spans="1:8" ht="45" x14ac:dyDescent="0.25">
      <c r="A17" s="19" t="s">
        <v>50</v>
      </c>
      <c r="B17" s="19" t="s">
        <v>45</v>
      </c>
      <c r="C17" s="23" t="s">
        <v>46</v>
      </c>
      <c r="D17" s="23" t="s">
        <v>84</v>
      </c>
      <c r="E17" s="23" t="s">
        <v>42</v>
      </c>
      <c r="F17" s="19" t="s">
        <v>100</v>
      </c>
      <c r="G17" s="23" t="s">
        <v>47</v>
      </c>
      <c r="H17" s="20" t="str">
        <f t="shared" si="0"/>
        <v>INSERT INTO TMS_TID_TKCO_DRVR (TK_CO_I, ID_CARD_I, DELETED, LAST_UPDATE_TM, LAST_UPDATE_USER_AN) VALUES ('ZACE','ZACE16','N',NOW_GMT(),'SYSTEM');</v>
      </c>
    </row>
    <row r="18" spans="1:8" ht="45" x14ac:dyDescent="0.25">
      <c r="A18" s="19" t="s">
        <v>50</v>
      </c>
      <c r="B18" s="19" t="s">
        <v>45</v>
      </c>
      <c r="C18" s="23" t="s">
        <v>46</v>
      </c>
      <c r="D18" s="23" t="s">
        <v>84</v>
      </c>
      <c r="E18" s="23" t="s">
        <v>42</v>
      </c>
      <c r="F18" s="19" t="s">
        <v>101</v>
      </c>
      <c r="G18" s="23" t="s">
        <v>47</v>
      </c>
      <c r="H18" s="20" t="str">
        <f t="shared" si="0"/>
        <v>INSERT INTO TMS_TID_TKCO_DRVR (TK_CO_I, ID_CARD_I, DELETED, LAST_UPDATE_TM, LAST_UPDATE_USER_AN) VALUES ('ZACE','ZACE17','N',NOW_GMT(),'SYSTEM');</v>
      </c>
    </row>
    <row r="19" spans="1:8" ht="45" x14ac:dyDescent="0.25">
      <c r="A19" s="19" t="s">
        <v>50</v>
      </c>
      <c r="B19" s="19" t="s">
        <v>45</v>
      </c>
      <c r="C19" s="23" t="s">
        <v>46</v>
      </c>
      <c r="D19" s="23" t="s">
        <v>84</v>
      </c>
      <c r="E19" s="23" t="s">
        <v>42</v>
      </c>
      <c r="F19" s="19" t="s">
        <v>102</v>
      </c>
      <c r="G19" s="23" t="s">
        <v>47</v>
      </c>
      <c r="H19" s="20" t="str">
        <f t="shared" si="0"/>
        <v>INSERT INTO TMS_TID_TKCO_DRVR (TK_CO_I, ID_CARD_I, DELETED, LAST_UPDATE_TM, LAST_UPDATE_USER_AN) VALUES ('ZACE','ZACE18','N',NOW_GMT(),'SYSTEM');</v>
      </c>
    </row>
    <row r="20" spans="1:8" ht="45" x14ac:dyDescent="0.25">
      <c r="A20" s="19" t="s">
        <v>50</v>
      </c>
      <c r="B20" s="19" t="s">
        <v>45</v>
      </c>
      <c r="C20" s="23" t="s">
        <v>46</v>
      </c>
      <c r="D20" s="23" t="s">
        <v>84</v>
      </c>
      <c r="E20" s="23" t="s">
        <v>42</v>
      </c>
      <c r="F20" s="19" t="s">
        <v>103</v>
      </c>
      <c r="G20" s="23" t="s">
        <v>47</v>
      </c>
      <c r="H20" s="20" t="str">
        <f t="shared" si="0"/>
        <v>INSERT INTO TMS_TID_TKCO_DRVR (TK_CO_I, ID_CARD_I, DELETED, LAST_UPDATE_TM, LAST_UPDATE_USER_AN) VALUES ('ZACE','ZACE19','N',NOW_GMT(),'SYSTEM');</v>
      </c>
    </row>
    <row r="21" spans="1:8" ht="45" x14ac:dyDescent="0.25">
      <c r="A21" s="19" t="s">
        <v>50</v>
      </c>
      <c r="B21" s="19" t="s">
        <v>45</v>
      </c>
      <c r="C21" s="23" t="s">
        <v>46</v>
      </c>
      <c r="D21" s="23" t="s">
        <v>84</v>
      </c>
      <c r="E21" s="23" t="s">
        <v>42</v>
      </c>
      <c r="F21" s="19" t="s">
        <v>104</v>
      </c>
      <c r="G21" s="23" t="s">
        <v>47</v>
      </c>
      <c r="H21" s="20" t="str">
        <f t="shared" si="0"/>
        <v>INSERT INTO TMS_TID_TKCO_DRVR (TK_CO_I, ID_CARD_I, DELETED, LAST_UPDATE_TM, LAST_UPDATE_USER_AN) VALUES ('ZACE','ZACE20','N',NOW_GMT(),'SYSTEM');</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21"/>
  <sheetViews>
    <sheetView workbookViewId="0">
      <selection activeCell="G10" sqref="G10"/>
    </sheetView>
  </sheetViews>
  <sheetFormatPr defaultRowHeight="15" x14ac:dyDescent="0.25"/>
  <cols>
    <col min="1" max="1" width="19" style="27" customWidth="1"/>
    <col min="2" max="7" width="9.140625" style="27"/>
    <col min="8" max="8" width="22.42578125" style="27" customWidth="1"/>
    <col min="9" max="16384" width="9.140625" style="27"/>
  </cols>
  <sheetData>
    <row r="1" spans="1:8" ht="26.25" x14ac:dyDescent="0.25">
      <c r="A1" s="24" t="s">
        <v>51</v>
      </c>
      <c r="B1" s="25" t="s">
        <v>25</v>
      </c>
      <c r="C1" s="26" t="s">
        <v>52</v>
      </c>
      <c r="D1" s="25" t="s">
        <v>24</v>
      </c>
      <c r="E1" s="25" t="s">
        <v>26</v>
      </c>
      <c r="F1" s="25" t="s">
        <v>53</v>
      </c>
      <c r="G1" s="25" t="s">
        <v>54</v>
      </c>
      <c r="H1" s="25" t="s">
        <v>72</v>
      </c>
    </row>
    <row r="2" spans="1:8" x14ac:dyDescent="0.25">
      <c r="A2" s="28" t="s">
        <v>80</v>
      </c>
      <c r="B2" s="27" t="s">
        <v>70</v>
      </c>
      <c r="C2" s="27" t="s">
        <v>13</v>
      </c>
      <c r="D2" s="27">
        <v>2000</v>
      </c>
      <c r="E2" s="27" t="s">
        <v>71</v>
      </c>
      <c r="F2" s="27">
        <v>20</v>
      </c>
      <c r="G2" s="29"/>
    </row>
    <row r="3" spans="1:8" x14ac:dyDescent="0.25">
      <c r="A3" s="28" t="s">
        <v>81</v>
      </c>
      <c r="B3" s="28" t="s">
        <v>70</v>
      </c>
      <c r="C3" s="28" t="s">
        <v>13</v>
      </c>
      <c r="D3" s="28">
        <v>2000</v>
      </c>
      <c r="E3" s="29" t="s">
        <v>71</v>
      </c>
      <c r="F3" s="29">
        <v>20</v>
      </c>
      <c r="G3" s="29"/>
    </row>
    <row r="4" spans="1:8" x14ac:dyDescent="0.25">
      <c r="A4" s="28" t="s">
        <v>78</v>
      </c>
      <c r="B4" s="28" t="s">
        <v>70</v>
      </c>
      <c r="C4" s="28" t="s">
        <v>13</v>
      </c>
      <c r="D4" s="28">
        <v>2000</v>
      </c>
      <c r="E4" s="29" t="s">
        <v>71</v>
      </c>
      <c r="F4" s="29">
        <v>20</v>
      </c>
      <c r="G4" s="29"/>
    </row>
    <row r="5" spans="1:8" x14ac:dyDescent="0.25">
      <c r="A5" s="28" t="s">
        <v>79</v>
      </c>
      <c r="B5" s="28" t="s">
        <v>70</v>
      </c>
      <c r="C5" s="28" t="s">
        <v>13</v>
      </c>
      <c r="D5" s="28">
        <v>2000</v>
      </c>
      <c r="E5" s="29" t="s">
        <v>71</v>
      </c>
      <c r="F5" s="29">
        <v>20</v>
      </c>
      <c r="G5" s="29"/>
    </row>
    <row r="6" spans="1:8" x14ac:dyDescent="0.25">
      <c r="A6" s="28" t="s">
        <v>76</v>
      </c>
      <c r="B6" s="28" t="s">
        <v>70</v>
      </c>
      <c r="C6" s="28" t="s">
        <v>13</v>
      </c>
      <c r="D6" s="28">
        <v>2000</v>
      </c>
      <c r="E6" s="29" t="s">
        <v>71</v>
      </c>
      <c r="F6" s="29">
        <v>20</v>
      </c>
      <c r="G6" s="29"/>
    </row>
    <row r="7" spans="1:8" x14ac:dyDescent="0.25">
      <c r="A7" s="28" t="s">
        <v>77</v>
      </c>
      <c r="B7" s="28" t="s">
        <v>70</v>
      </c>
      <c r="C7" s="28" t="s">
        <v>13</v>
      </c>
      <c r="D7" s="28">
        <v>2000</v>
      </c>
      <c r="E7" s="29" t="s">
        <v>71</v>
      </c>
      <c r="F7" s="29">
        <v>20</v>
      </c>
      <c r="G7" s="29"/>
    </row>
    <row r="8" spans="1:8" x14ac:dyDescent="0.25">
      <c r="A8" s="28" t="s">
        <v>82</v>
      </c>
      <c r="B8" s="28" t="s">
        <v>70</v>
      </c>
      <c r="C8" s="28" t="s">
        <v>13</v>
      </c>
      <c r="D8" s="28">
        <v>2000</v>
      </c>
      <c r="E8" s="29" t="s">
        <v>71</v>
      </c>
      <c r="F8" s="29">
        <v>20</v>
      </c>
      <c r="G8" s="29"/>
    </row>
    <row r="9" spans="1:8" x14ac:dyDescent="0.25">
      <c r="A9" s="28" t="s">
        <v>75</v>
      </c>
      <c r="B9" s="28" t="s">
        <v>70</v>
      </c>
      <c r="C9" s="28" t="s">
        <v>13</v>
      </c>
      <c r="D9" s="28">
        <v>2000</v>
      </c>
      <c r="E9" s="29" t="s">
        <v>71</v>
      </c>
      <c r="F9" s="29">
        <v>20</v>
      </c>
      <c r="G9" s="29"/>
    </row>
    <row r="10" spans="1:8" x14ac:dyDescent="0.25">
      <c r="A10" s="28" t="s">
        <v>74</v>
      </c>
      <c r="B10" s="28" t="s">
        <v>70</v>
      </c>
      <c r="C10" s="28" t="s">
        <v>13</v>
      </c>
      <c r="D10" s="28">
        <v>2000</v>
      </c>
      <c r="E10" s="29" t="s">
        <v>71</v>
      </c>
      <c r="F10" s="29">
        <v>20</v>
      </c>
      <c r="G10" s="29"/>
    </row>
    <row r="11" spans="1:8" x14ac:dyDescent="0.25">
      <c r="A11" s="28"/>
      <c r="G11" s="29"/>
    </row>
    <row r="12" spans="1:8" x14ac:dyDescent="0.25">
      <c r="A12" s="28"/>
    </row>
    <row r="13" spans="1:8" x14ac:dyDescent="0.25">
      <c r="A13" s="28"/>
    </row>
    <row r="14" spans="1:8" x14ac:dyDescent="0.25">
      <c r="A14" s="28"/>
    </row>
    <row r="15" spans="1:8" x14ac:dyDescent="0.25">
      <c r="A15" s="28"/>
    </row>
    <row r="16" spans="1:8" x14ac:dyDescent="0.25">
      <c r="A16" s="28"/>
    </row>
    <row r="17" spans="1:1" x14ac:dyDescent="0.25">
      <c r="A17" s="28"/>
    </row>
    <row r="18" spans="1:1" x14ac:dyDescent="0.25">
      <c r="A18" s="28"/>
    </row>
    <row r="19" spans="1:1" x14ac:dyDescent="0.25">
      <c r="A19" s="28"/>
    </row>
    <row r="20" spans="1:1" x14ac:dyDescent="0.25">
      <c r="A20" s="28"/>
    </row>
    <row r="21" spans="1:1" x14ac:dyDescent="0.25">
      <c r="A21" s="2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Main</vt:lpstr>
      <vt:lpstr>add trucking company</vt:lpstr>
      <vt:lpstr>add tractor</vt:lpstr>
      <vt:lpstr>relate tractor to company</vt:lpstr>
      <vt:lpstr>add driver</vt:lpstr>
      <vt:lpstr>relate driver to company</vt:lpstr>
      <vt:lpstr>import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Zandra Etorma</dc:creator>
  <cp:lastModifiedBy>Zandra Etorma</cp:lastModifiedBy>
  <dcterms:created xsi:type="dcterms:W3CDTF">2023-04-25T12:32:04Z</dcterms:created>
  <dcterms:modified xsi:type="dcterms:W3CDTF">2023-06-21T12:30:09Z</dcterms:modified>
</cp:coreProperties>
</file>