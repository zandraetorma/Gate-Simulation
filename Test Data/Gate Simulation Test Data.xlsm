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Katalon Automation Tool\Gate-Simulation\Test Data\"/>
    </mc:Choice>
  </mc:AlternateContent>
  <bookViews>
    <workbookView xWindow="0" yWindow="0" windowWidth="20490" windowHeight="6495"/>
  </bookViews>
  <sheets>
    <sheet name="Main" sheetId="1" r:id="rId1"/>
    <sheet name="configurations" sheetId="10" r:id="rId2"/>
    <sheet name="appointment" sheetId="9" r:id="rId3"/>
    <sheet name="export" sheetId="8" r:id="rId4"/>
    <sheet name="import" sheetId="6" r:id="rId5"/>
    <sheet name="add trucking company" sheetId="7" r:id="rId6"/>
    <sheet name="add tractor" sheetId="2" r:id="rId7"/>
    <sheet name="relate tractor to company" sheetId="3" r:id="rId8"/>
    <sheet name="add driver" sheetId="4" r:id="rId9"/>
    <sheet name="relate driver to company" sheetId="5" r:id="rId10"/>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 i="5" l="1"/>
  <c r="O3" i="5"/>
  <c r="H4" i="5"/>
  <c r="O4" i="5"/>
  <c r="H5" i="5"/>
  <c r="O5" i="5"/>
  <c r="H6" i="5"/>
  <c r="O6" i="5"/>
  <c r="H7" i="5"/>
  <c r="O7" i="5"/>
  <c r="H8" i="5"/>
  <c r="O8" i="5"/>
  <c r="H9" i="5"/>
  <c r="O9" i="5"/>
  <c r="H10" i="5"/>
  <c r="O10" i="5"/>
  <c r="H11" i="5"/>
  <c r="O11" i="5"/>
  <c r="H12" i="5"/>
  <c r="O12" i="5"/>
  <c r="H13" i="5"/>
  <c r="O13" i="5"/>
  <c r="H14" i="5"/>
  <c r="O14" i="5"/>
  <c r="H15" i="5"/>
  <c r="O15" i="5"/>
  <c r="H16" i="5"/>
  <c r="O16" i="5"/>
  <c r="H17" i="5"/>
  <c r="O17" i="5"/>
  <c r="H18" i="5"/>
  <c r="O18" i="5"/>
  <c r="H19" i="5"/>
  <c r="O19" i="5"/>
  <c r="H20" i="5"/>
  <c r="O20" i="5"/>
  <c r="H21" i="5"/>
  <c r="O21" i="5"/>
  <c r="H3" i="4"/>
  <c r="M3" i="4"/>
  <c r="H4" i="4"/>
  <c r="M4" i="4"/>
  <c r="H5" i="4"/>
  <c r="M5" i="4"/>
  <c r="H6" i="4"/>
  <c r="M6" i="4"/>
  <c r="H7" i="4"/>
  <c r="M7" i="4"/>
  <c r="H8" i="4"/>
  <c r="M8" i="4"/>
  <c r="H9" i="4"/>
  <c r="M9" i="4"/>
  <c r="H10" i="4"/>
  <c r="M10" i="4"/>
  <c r="H11" i="4"/>
  <c r="M11" i="4"/>
  <c r="H12" i="4"/>
  <c r="M12" i="4"/>
  <c r="H13" i="4"/>
  <c r="M13" i="4"/>
  <c r="H14" i="4"/>
  <c r="M14" i="4"/>
  <c r="H15" i="4"/>
  <c r="M15" i="4"/>
  <c r="H16" i="4"/>
  <c r="M16" i="4"/>
  <c r="H17" i="4"/>
  <c r="M17" i="4"/>
  <c r="H18" i="4"/>
  <c r="M18" i="4"/>
  <c r="H19" i="4"/>
  <c r="M19" i="4"/>
  <c r="H20" i="4"/>
  <c r="M20" i="4"/>
  <c r="H21" i="4"/>
  <c r="M21" i="4"/>
  <c r="H3" i="3"/>
  <c r="O3" i="3"/>
  <c r="H4" i="3"/>
  <c r="O4" i="3"/>
  <c r="H5" i="3"/>
  <c r="O5" i="3"/>
  <c r="H6" i="3"/>
  <c r="O6" i="3"/>
  <c r="H7" i="3"/>
  <c r="O7" i="3"/>
  <c r="H8" i="3"/>
  <c r="O8" i="3"/>
  <c r="H9" i="3"/>
  <c r="O9" i="3"/>
  <c r="H10" i="3"/>
  <c r="O10" i="3"/>
  <c r="H11" i="3"/>
  <c r="O11" i="3"/>
  <c r="H12" i="3"/>
  <c r="O12" i="3"/>
  <c r="H13" i="3"/>
  <c r="O13" i="3"/>
  <c r="H14" i="3"/>
  <c r="O14" i="3"/>
  <c r="H15" i="3"/>
  <c r="O15" i="3"/>
  <c r="H16" i="3"/>
  <c r="O16" i="3"/>
  <c r="H17" i="3"/>
  <c r="O17" i="3"/>
  <c r="H18" i="3"/>
  <c r="O18" i="3"/>
  <c r="H19" i="3"/>
  <c r="O19" i="3"/>
  <c r="H20" i="3"/>
  <c r="O20" i="3"/>
  <c r="H21" i="3"/>
  <c r="O21" i="3"/>
  <c r="F3" i="2"/>
  <c r="K3" i="2"/>
  <c r="F4" i="2"/>
  <c r="K4" i="2"/>
  <c r="F5" i="2"/>
  <c r="K5" i="2"/>
  <c r="F6" i="2"/>
  <c r="K6" i="2"/>
  <c r="F7" i="2"/>
  <c r="K7" i="2"/>
  <c r="F8" i="2"/>
  <c r="K8" i="2"/>
  <c r="F9" i="2"/>
  <c r="K9" i="2"/>
  <c r="F10" i="2"/>
  <c r="K10" i="2"/>
  <c r="F11" i="2"/>
  <c r="K11" i="2"/>
  <c r="F12" i="2"/>
  <c r="K12" i="2"/>
  <c r="F13" i="2"/>
  <c r="K13" i="2"/>
  <c r="F14" i="2"/>
  <c r="K14" i="2"/>
  <c r="F15" i="2"/>
  <c r="K15" i="2"/>
  <c r="F16" i="2"/>
  <c r="K16" i="2"/>
  <c r="F17" i="2"/>
  <c r="K17" i="2"/>
  <c r="F18" i="2"/>
  <c r="K18" i="2"/>
  <c r="F19" i="2"/>
  <c r="K19" i="2"/>
  <c r="F20" i="2"/>
  <c r="K20" i="2"/>
  <c r="F21" i="2"/>
  <c r="K21" i="2"/>
  <c r="D32" i="1" l="1"/>
  <c r="E68" i="1" l="1"/>
  <c r="S2" i="7" l="1"/>
  <c r="O2" i="5" l="1"/>
  <c r="M2" i="4"/>
  <c r="H2" i="5" l="1"/>
  <c r="H2" i="4"/>
  <c r="O2" i="3"/>
  <c r="H2" i="3"/>
  <c r="K2" i="2"/>
  <c r="F2" i="2"/>
  <c r="W2" i="7"/>
  <c r="M2" i="7"/>
  <c r="F2" i="7"/>
  <c r="B78" i="1"/>
  <c r="B44" i="1"/>
  <c r="B43" i="1"/>
  <c r="B42" i="1"/>
</calcChain>
</file>

<file path=xl/sharedStrings.xml><?xml version="1.0" encoding="utf-8"?>
<sst xmlns="http://schemas.openxmlformats.org/spreadsheetml/2006/main" count="1562" uniqueCount="311">
  <si>
    <t>Create Gate Visit By:</t>
  </si>
  <si>
    <t>Select Site</t>
  </si>
  <si>
    <t>Interval Range (in_min)</t>
  </si>
  <si>
    <t>Export XLSX File Name</t>
  </si>
  <si>
    <t>Create By Appointment in Postman (for appointment only)</t>
  </si>
  <si>
    <t>min</t>
  </si>
  <si>
    <t>max</t>
  </si>
  <si>
    <t>Appointment Start Time</t>
  </si>
  <si>
    <t>Cy Gate Lane</t>
  </si>
  <si>
    <t>Operator</t>
  </si>
  <si>
    <t>Outbound Visit</t>
  </si>
  <si>
    <t>POL</t>
  </si>
  <si>
    <t>POD</t>
  </si>
  <si>
    <t>Booking Number</t>
  </si>
  <si>
    <t>ISO Type</t>
  </si>
  <si>
    <t>SS</t>
  </si>
  <si>
    <t>Laden Status</t>
  </si>
  <si>
    <t>Number of Data</t>
  </si>
  <si>
    <t>Total</t>
  </si>
  <si>
    <t>trucking co.</t>
  </si>
  <si>
    <t>truck license</t>
  </si>
  <si>
    <t>license plate</t>
  </si>
  <si>
    <t>driver id</t>
  </si>
  <si>
    <t>driver name</t>
  </si>
  <si>
    <t>Truck and Driver Creation</t>
  </si>
  <si>
    <t>EXPORT Preadvise Container</t>
  </si>
  <si>
    <t>Gate Data Preparation</t>
  </si>
  <si>
    <t>INSERT INTO TMS_TID_TK (TK_I, LICENCE_PLATE_AN, SUSPEND_FROM_TM, SUSPEND_TO_TM, TRACTOR_STATUS_CODE, DELETED, PARTNER_TX_D, LAST_UPDATE_USER_AN,LST_UPDT_D) VALUES ('</t>
  </si>
  <si>
    <t>','</t>
  </si>
  <si>
    <t>', null, null, 'A','N',NOW_GMT(),'SYSTEM',NOW_GMT());</t>
  </si>
  <si>
    <t xml:space="preserve">INSERT INTO TMS_TID_TKCO_TK (TK_CO_I, TK_I, DELETED, LAST_UPDATE_TM, LAST_UPDATE_USER_AN) VALUES </t>
  </si>
  <si>
    <t>(</t>
  </si>
  <si>
    <t>'</t>
  </si>
  <si>
    <t>','N',NOW_GMT(),'SYSTEM');</t>
  </si>
  <si>
    <t>INSERT INTO TMS_TID_DRVR (TK_CO_I, ID_CARD_I, DRVR_N, LST_UPDT_D, PARTNER_TX_D, DELETED, LAST_UPDATE_USER_AN) VALUES ('</t>
  </si>
  <si>
    <t>',NOW_GMT(), NOW_GMT(), 'N', 'SYSTEM');</t>
  </si>
  <si>
    <t xml:space="preserve">INSERT INTO TMS_TID_TKCO_DRVR (TK_CO_I, ID_CARD_I, DELETED, LAST_UPDATE_TM, LAST_UPDATE_USER_AN) VALUES </t>
  </si>
  <si>
    <t>Cntr No.</t>
  </si>
  <si>
    <t>Opr</t>
  </si>
  <si>
    <t>Size</t>
  </si>
  <si>
    <t xml:space="preserve">Bkg No. </t>
  </si>
  <si>
    <t>Postgres SQL Query to extract container list</t>
  </si>
  <si>
    <t>Oracle</t>
  </si>
  <si>
    <t>Booking Operator</t>
  </si>
  <si>
    <t>IMPORT Container Query</t>
  </si>
  <si>
    <t>INSERT INTO TMS_TID_TKCO (TK_CO_I, LST_UPDT_D, TK_CO_N, DELETED,  PARTNER_TX_D, LAST_UPDATE_USER_AN) VALUES ('</t>
  </si>
  <si>
    <t>trucking company code</t>
  </si>
  <si>
    <t>trucking company name</t>
  </si>
  <si>
    <t>', NOW_GMT(), '</t>
  </si>
  <si>
    <t>', 'N', NOW_GMT(), 'SYSTEM');</t>
  </si>
  <si>
    <t>Bkg Opr</t>
  </si>
  <si>
    <t>*Paste query results on Import sheet located on this workbook before clicking the generate test data button</t>
  </si>
  <si>
    <t>Number of In Gate Lanes</t>
  </si>
  <si>
    <t>*adds 1 hour for deadline, do not change the format (yyyy-mm-dd h:mm)</t>
  </si>
  <si>
    <t>Trucking Co. Code</t>
  </si>
  <si>
    <t>Trucking Co. Name</t>
  </si>
  <si>
    <t>Truck License</t>
  </si>
  <si>
    <t>License Plate</t>
  </si>
  <si>
    <t>Driver ID</t>
  </si>
  <si>
    <t>Driver Name</t>
  </si>
  <si>
    <t>Number of Trucking Data</t>
  </si>
  <si>
    <t>MSK</t>
  </si>
  <si>
    <t>Driver</t>
  </si>
  <si>
    <t>DB Connection</t>
  </si>
  <si>
    <t>Server</t>
  </si>
  <si>
    <t>Port</t>
  </si>
  <si>
    <t>Uid</t>
  </si>
  <si>
    <t>Pwd</t>
  </si>
  <si>
    <t>PostgreSQL Unicode</t>
  </si>
  <si>
    <t>POSTGRESDB02</t>
  </si>
  <si>
    <t>lqnqazdc</t>
  </si>
  <si>
    <t>lqnqa$ztms_app</t>
  </si>
  <si>
    <t>p2II9JLIaea06</t>
  </si>
  <si>
    <t>Vessel Visit Creation</t>
  </si>
  <si>
    <t>Booking Creation</t>
  </si>
  <si>
    <t>LQN</t>
  </si>
  <si>
    <t>lqnqa02</t>
  </si>
  <si>
    <t>127.0.0.1</t>
  </si>
  <si>
    <t>welcome</t>
  </si>
  <si>
    <t>en-US</t>
  </si>
  <si>
    <t>INTERNATIONAL</t>
  </si>
  <si>
    <t>Pickup Quantity</t>
  </si>
  <si>
    <t>Arrive Quantity</t>
  </si>
  <si>
    <t>B1</t>
  </si>
  <si>
    <t>Lane Direction</t>
  </si>
  <si>
    <t>Out Lane Name</t>
  </si>
  <si>
    <t>In Lane Name</t>
  </si>
  <si>
    <t>Vessel Visit Code</t>
  </si>
  <si>
    <t>Vessel Service Code</t>
  </si>
  <si>
    <t>Schedule Type Code</t>
  </si>
  <si>
    <t>Visit Classification Code</t>
  </si>
  <si>
    <t>Visit Operator Code</t>
  </si>
  <si>
    <t>Terminal Operator Code</t>
  </si>
  <si>
    <t>Contract Terminal Operator Code</t>
  </si>
  <si>
    <t>Vessel Code</t>
  </si>
  <si>
    <t>Voyage In</t>
  </si>
  <si>
    <t>Voyage Out</t>
  </si>
  <si>
    <t>ETA</t>
  </si>
  <si>
    <t>ETD</t>
  </si>
  <si>
    <t>ETB</t>
  </si>
  <si>
    <t>Vessel VisitCode</t>
  </si>
  <si>
    <t>Container Types</t>
  </si>
  <si>
    <t>Container No. Prefix</t>
  </si>
  <si>
    <t>Berth No.</t>
  </si>
  <si>
    <t>Booking No.</t>
  </si>
  <si>
    <t>User ID</t>
  </si>
  <si>
    <t>Current Data Scope</t>
  </si>
  <si>
    <t>IP</t>
  </si>
  <si>
    <t>Password</t>
  </si>
  <si>
    <t>Locale</t>
  </si>
  <si>
    <t>Vessel Visit and Booking API</t>
  </si>
  <si>
    <t>CLLQN</t>
  </si>
  <si>
    <t>SCHEDULED</t>
  </si>
  <si>
    <t>QAVS</t>
  </si>
  <si>
    <t>QAVC</t>
  </si>
  <si>
    <t>SGSIN</t>
  </si>
  <si>
    <t>Custom Visit Code</t>
  </si>
  <si>
    <t>* ST Full not yet supported in the script, as it need to tick dray in</t>
  </si>
  <si>
    <t>Bkg No.</t>
  </si>
  <si>
    <t>apptNbr</t>
  </si>
  <si>
    <t>truckCompanyCode</t>
  </si>
  <si>
    <t>truckLicenseNbr</t>
  </si>
  <si>
    <t>driverId</t>
  </si>
  <si>
    <t>remarks</t>
  </si>
  <si>
    <t>apptTime</t>
  </si>
  <si>
    <t>apptDeadline</t>
  </si>
  <si>
    <t>gateMissionTypeCode1</t>
  </si>
  <si>
    <t>gateScenarioCode1</t>
  </si>
  <si>
    <t>bookingNbr1</t>
  </si>
  <si>
    <t>bookingOperator1</t>
  </si>
  <si>
    <t>eqpNbr1</t>
  </si>
  <si>
    <t>cntrType1</t>
  </si>
  <si>
    <t>operator1</t>
  </si>
  <si>
    <t>docTypeCode1</t>
  </si>
  <si>
    <t>docReferenceNbr1</t>
  </si>
  <si>
    <t>gateMissionTypeCode2</t>
  </si>
  <si>
    <t>gateScenarioCode2</t>
  </si>
  <si>
    <t>bookingNbr2</t>
  </si>
  <si>
    <t>bookingOperator2</t>
  </si>
  <si>
    <t>eqpNbr2</t>
  </si>
  <si>
    <t>cntrType2</t>
  </si>
  <si>
    <t>operator2</t>
  </si>
  <si>
    <t>docTypeCode2</t>
  </si>
  <si>
    <t>docReferenceNbr2</t>
  </si>
  <si>
    <t>gateMissionTypeCode3</t>
  </si>
  <si>
    <t>gateScenarioCode3</t>
  </si>
  <si>
    <t>bookingNbr3</t>
  </si>
  <si>
    <t>bookingOperator3</t>
  </si>
  <si>
    <t>eqpNbr3</t>
  </si>
  <si>
    <t>cntrType3</t>
  </si>
  <si>
    <t>operator3</t>
  </si>
  <si>
    <t>docTypeCode3</t>
  </si>
  <si>
    <t>docReferenceNbr3</t>
  </si>
  <si>
    <t>gateMissionTypeCode4</t>
  </si>
  <si>
    <t>gateScenarioCode4</t>
  </si>
  <si>
    <t>bookingNbr4</t>
  </si>
  <si>
    <t>bookingOperator4</t>
  </si>
  <si>
    <t>eqpNbr4</t>
  </si>
  <si>
    <t>cntrType4</t>
  </si>
  <si>
    <t>operator4</t>
  </si>
  <si>
    <t>docTypeCode4</t>
  </si>
  <si>
    <t>docReferenceNbr4</t>
  </si>
  <si>
    <t>EX</t>
  </si>
  <si>
    <t>F</t>
  </si>
  <si>
    <t>R</t>
  </si>
  <si>
    <t>EXRL</t>
  </si>
  <si>
    <t>P</t>
  </si>
  <si>
    <t>IMPL</t>
  </si>
  <si>
    <t>test</t>
  </si>
  <si>
    <t>CCS-REFNBR</t>
  </si>
  <si>
    <t>Site</t>
  </si>
  <si>
    <t xml:space="preserve">API Authentication </t>
  </si>
  <si>
    <t>Site Login Credentials</t>
  </si>
  <si>
    <t>user</t>
  </si>
  <si>
    <t>password</t>
  </si>
  <si>
    <t>site link</t>
  </si>
  <si>
    <t>cy gate lane link</t>
  </si>
  <si>
    <t>logs path</t>
  </si>
  <si>
    <t>LQNQA</t>
  </si>
  <si>
    <t>t8bi/9oinNc=</t>
  </si>
  <si>
    <t>https://zodiacappqa.lqn.zodiac-cloud.com/zodiac/fdn/</t>
  </si>
  <si>
    <t>https://zodiacappqa.lqn.zodiac-cloud.com/cygate/swg.html</t>
  </si>
  <si>
    <t>\\\\lqnqa-a01\\work\\ZARA\\zara\\logs</t>
  </si>
  <si>
    <t>CZ1QP</t>
  </si>
  <si>
    <t>postgresdb01</t>
  </si>
  <si>
    <t>cz1qpzdc</t>
  </si>
  <si>
    <t>cz1qp$cz1qp01</t>
  </si>
  <si>
    <t>cz1qp02</t>
  </si>
  <si>
    <t>CZ1</t>
  </si>
  <si>
    <t>welcome@1</t>
  </si>
  <si>
    <t>8ONjX3ggx5Swhsu1i0x+ew==</t>
  </si>
  <si>
    <t>https://zodiacappqp.cz1.zodiac-cloud.com/zodiac/fdn/</t>
  </si>
  <si>
    <t>https://zodiacappqa.cz1.zodiac-cloud.com/cygate/swg.html</t>
  </si>
  <si>
    <t>\\\\cz1qp-a01\\work\\ZARA\\zara\\logs\\</t>
  </si>
  <si>
    <t>RUN THIS IN ZARA DB</t>
  </si>
  <si>
    <t>INSERT INTO CAT_ORGANIZATION( CODE, NAME,CONTACT_EMAIL,CONTACT_PHONE,CONTACT_NAME,SKEY,SITE_KEY,VERSION,CREATE_BY,CREATE_TIME) values ('</t>
  </si>
  <si>
    <t>',null,null,null,NEXTVAL('ZARA_SEQUENCE'),(SELECT SKEY FROM CAT_SITE WHERE CODE = '</t>
  </si>
  <si>
    <t>',</t>
  </si>
  <si>
    <t>'),0,'SYSTEM',NOW_GMT());</t>
  </si>
  <si>
    <t>INSERT INTO CAT_BIZ_UNIT( CODE, NAME,EMAIL,TAX_ID_NBR,ADDRESS,PHONE,SKEY,BIZ_TYPE_CODE,ORG_KEY,SITE_KEY,VERSION,CREATE_BY,CREATE_TIME) values ('</t>
  </si>
  <si>
    <t>')),(SELECT SKEY FROM CAT_SITE WHERE CODE = '</t>
  </si>
  <si>
    <t>',null,null,null,null,NEXTVAL('ZARA_SEQUENCE'),'TRUCKING_COMPANY',(SELECT SKEY FROM CAT_ORGANIZATION WHERE CODE = '</t>
  </si>
  <si>
    <t>')));</t>
  </si>
  <si>
    <t>INSERT INTO TOS_TRUCK_COMPANY(ADDRESS_l1,ADDRESS_l2,PHONE_NO,CONTACT_PERSON,SKEY,BIZ_UNIT_KEY) values (null,null,null,null,NEXTVAL('ZARA_SEQUENCE'),(SELECT SKEY FROM CAT_BIZ_UNIT WHERE  BIZ_TYPE_CODE = 'TRUCKING_COMPANY' AND  CODE = '</t>
  </si>
  <si>
    <t>' AND SITE_KEY = (SELECT SKEY FROM CAT_SITE WHERE CODE = '</t>
  </si>
  <si>
    <t>INSERT INTO TOS_TRACTOR(TRACTOR_ID,LICENSE_PLATE,SKEY,SITE_KEY,TRACTOR_STATUS_CODE,CREATE_BY,CREATE_TIME) values ('</t>
  </si>
  <si>
    <t>',NEXTVAL('ZARA_SEQUENCE'),(SELECT SKEY FROM CAT_SITE WHERE CODE = '</t>
  </si>
  <si>
    <t>INSERT INTO TOS_TRUCK_COMPANY_TRACTOR(SKEY,TRUCK_COMPANY_KEY,TRACTOR_KEY,CREATE_BY,CREATE_TIME) values (NEXTVAL('ZARA_SEQUENCE'),(SELECT SKEY FROM TOS_TRUCK_COMPANY WHERE BIZ_UNIT_KEY = (SELECT SKEY FROM CAT_BIZ_UNIT WHERE BIZ_TYPE_CODE = 'TRUCKING_COMPANY' AND CODE = '</t>
  </si>
  <si>
    <t xml:space="preserve"> AND  SITE_KEY = (SELECT SKEY FROM CAT_SITE WHERE CODE = '</t>
  </si>
  <si>
    <t>'))),(SELECT SKEY FROM TOS_TRACTOR WHERE TRACTOR_ID = '</t>
  </si>
  <si>
    <t>' AND  SITE_KEY = (SELECT SKEY FROM CAT_SITE WHERE CODE = '</t>
  </si>
  <si>
    <t>')),'SYSTEM',NOW_GMT());</t>
  </si>
  <si>
    <t>INSERT INTO TOS_DRIVER( DRIVER_ID,NAME,SKEY,SITE_KEY,CREATE_BY,CREATE_TIME) values ('</t>
  </si>
  <si>
    <t>'),'SYSTEM',NOW_GMT());</t>
  </si>
  <si>
    <t>INSERT INTO TOS_TRUCK_COMPANY_DRIVER(SKEY,TRUCK_COMPANY_KEY,DRIVER_KEY) values (NEXTVAL('ZARA_SEQUENCE'),(SELECT SKEY FROM TOS_TRUCK_COMPANY WHERE BIZ_UNIT_KEY = (SELECT SKEY FROM CAT_BIZ_UNIT WHERE BIZ_TYPE_CODE = 'TRUCKING_COMPANY' AND CODE = '</t>
  </si>
  <si>
    <t>'))),(SELECT SKEY FROM TOS_DRIVER WHERE DRIVER_ID = '</t>
  </si>
  <si>
    <t>lqnqa$zopn_app</t>
  </si>
  <si>
    <t>qp$zopn_app</t>
  </si>
  <si>
    <t>Database (TMS)</t>
  </si>
  <si>
    <t>Database (ZARA)</t>
  </si>
  <si>
    <t>I1</t>
  </si>
  <si>
    <t>O1</t>
  </si>
  <si>
    <t>IN</t>
  </si>
  <si>
    <r>
      <t>select cntr_an, shipping_status_code , oper_c, container_type_c, decode(is_laden, 0, 'Empty', 1, 'FCL') as laden_status,sizetype_size_an from tms_cntr_grp1 where shipping_status_code = 'IM' and loc_s = 'Y' and in_vessel_visit_c = '</t>
    </r>
    <r>
      <rPr>
        <b/>
        <sz val="12"/>
        <color rgb="FF00FF00"/>
        <rFont val="Calibri"/>
        <family val="2"/>
        <scheme val="minor"/>
      </rPr>
      <t>ZACE1000</t>
    </r>
    <r>
      <rPr>
        <sz val="12"/>
        <rFont val="Calibri"/>
        <family val="2"/>
        <scheme val="minor"/>
      </rPr>
      <t>';</t>
    </r>
  </si>
  <si>
    <t>IM</t>
  </si>
  <si>
    <t>2000</t>
  </si>
  <si>
    <t>FCL</t>
  </si>
  <si>
    <t>20</t>
  </si>
  <si>
    <t>' AND SITE_KEY=(SELECT SKEY FROM CAT_SITE WHERE CODE = '</t>
  </si>
  <si>
    <t>'),'A','SYSTEM',NOW_GMT());</t>
  </si>
  <si>
    <t>Gross Weight</t>
  </si>
  <si>
    <t>I2</t>
  </si>
  <si>
    <t>O2</t>
  </si>
  <si>
    <t>RUN THIS IN TMS DB</t>
  </si>
  <si>
    <t>BKG_2023081701</t>
  </si>
  <si>
    <r>
      <t>select cntr_an, shipping_status_code , oper_c, container_type_c, case when is_laden &gt; 0 then 'FCL'else 'Empty' end as laden_status,sizetype_size_an, bkg_i from tms_cntr_grp1 where shipping_status_code = 'IM' and loc_s = 'Y' and in_vessel_visit_c = '</t>
    </r>
    <r>
      <rPr>
        <b/>
        <sz val="12"/>
        <color rgb="FF00FF00"/>
        <rFont val="Calibri"/>
        <family val="2"/>
        <scheme val="minor"/>
      </rPr>
      <t>ZACE2001</t>
    </r>
    <r>
      <rPr>
        <sz val="12"/>
        <rFont val="Calibri"/>
        <family val="2"/>
        <scheme val="minor"/>
      </rPr>
      <t>';</t>
    </r>
  </si>
  <si>
    <t>XXZZ0000009</t>
  </si>
  <si>
    <t>XXZZ0000004</t>
  </si>
  <si>
    <t>XXZZ0000003</t>
  </si>
  <si>
    <t>XXZZ0000002</t>
  </si>
  <si>
    <t>XXZZ0000001</t>
  </si>
  <si>
    <t>XXZZ0000010</t>
  </si>
  <si>
    <t>XXZZ0000008</t>
  </si>
  <si>
    <t>XXZZ0000007</t>
  </si>
  <si>
    <t>CCS20230912A0001</t>
  </si>
  <si>
    <t>CCS20230912C0001</t>
  </si>
  <si>
    <t>CCS20230912D0001</t>
  </si>
  <si>
    <t>CCS20230912A0002</t>
  </si>
  <si>
    <t>CCS20230912D0002</t>
  </si>
  <si>
    <t>CCS20230912D0003</t>
  </si>
  <si>
    <t>CCS20230912D0004</t>
  </si>
  <si>
    <t>CCS20230912C0002</t>
  </si>
  <si>
    <t>CCS20230912A0003</t>
  </si>
  <si>
    <t>CCS20230912D0005</t>
  </si>
  <si>
    <t>CCS20230912A0004</t>
  </si>
  <si>
    <t>CCS20230912A0005</t>
  </si>
  <si>
    <t>CCS20230912D0006</t>
  </si>
  <si>
    <t>CCS20230912A0006</t>
  </si>
  <si>
    <t>CCS20230912A0007</t>
  </si>
  <si>
    <t>CCS20230912A0008</t>
  </si>
  <si>
    <t>CCS20230912A0009</t>
  </si>
  <si>
    <t>CCS20230912A0010</t>
  </si>
  <si>
    <t>0097</t>
  </si>
  <si>
    <t>QAVC0097</t>
  </si>
  <si>
    <t>ABDD</t>
  </si>
  <si>
    <t>ABDD1</t>
  </si>
  <si>
    <t>ABDD2</t>
  </si>
  <si>
    <t>ABDD3</t>
  </si>
  <si>
    <t>ABDD4</t>
  </si>
  <si>
    <t>ABDD5</t>
  </si>
  <si>
    <t>ABDD6</t>
  </si>
  <si>
    <t>ABDD7</t>
  </si>
  <si>
    <t>ABDD8</t>
  </si>
  <si>
    <t>ABDD9</t>
  </si>
  <si>
    <t>ABDD10</t>
  </si>
  <si>
    <t>ABDD11</t>
  </si>
  <si>
    <t>ABDD12</t>
  </si>
  <si>
    <t>ABDD13</t>
  </si>
  <si>
    <t>ABDD14</t>
  </si>
  <si>
    <t>ABDD15</t>
  </si>
  <si>
    <t>ABDD16</t>
  </si>
  <si>
    <t>ABDD17</t>
  </si>
  <si>
    <t>ABDD18</t>
  </si>
  <si>
    <t>ABDD19</t>
  </si>
  <si>
    <t>ABDD20</t>
  </si>
  <si>
    <t>ABDD0000001</t>
  </si>
  <si>
    <t>ABDD0000002</t>
  </si>
  <si>
    <t>ABDD0000003</t>
  </si>
  <si>
    <t>ABDD0000004</t>
  </si>
  <si>
    <t>ABDD0000005</t>
  </si>
  <si>
    <t>ABDD0000006</t>
  </si>
  <si>
    <t>ABDD0000007</t>
  </si>
  <si>
    <t>ABDD0000008</t>
  </si>
  <si>
    <t>ABDD0000009</t>
  </si>
  <si>
    <t>ABDD0000010</t>
  </si>
  <si>
    <t>202309121459A00001</t>
  </si>
  <si>
    <t>202309121459A00002</t>
  </si>
  <si>
    <t>202309121459A00003</t>
  </si>
  <si>
    <t>202309121459A00004</t>
  </si>
  <si>
    <t>202309121459A00005</t>
  </si>
  <si>
    <t>202309121459A00006</t>
  </si>
  <si>
    <t>202309121459A00007</t>
  </si>
  <si>
    <t>202309121459A00008</t>
  </si>
  <si>
    <t>202309121459A00009</t>
  </si>
  <si>
    <t>202309121459A00010</t>
  </si>
  <si>
    <t>202309121459A00011</t>
  </si>
  <si>
    <t>202309121459A00012</t>
  </si>
  <si>
    <t>202309121459A00013</t>
  </si>
  <si>
    <t>202309121459A00014</t>
  </si>
  <si>
    <t>2023-09-12T14:59:00+08:00</t>
  </si>
  <si>
    <t>2023-09-12T15:59:00+08:00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</si>
</sst>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yyyy\-mm\-dd\ h:mm"/>
  </numFmts>
  <fonts count="21" x14ac:knownFonts="1">
    <font>
      <sz val="11"/>
      <color theme="1"/>
      <name val="Calibri"/>
      <family val="2"/>
      <scheme val="minor"/>
    </font>
    <font>
      <sz val="12"/>
      <color theme="1"/>
      <name val="Calibri"/>
      <family val="2"/>
      <scheme val="minor"/>
    </font>
    <font>
      <sz val="14"/>
      <color theme="1"/>
      <name val="Calibri"/>
      <family val="2"/>
      <scheme val="minor"/>
    </font>
    <font>
      <i/>
      <sz val="12"/>
      <color theme="1"/>
      <name val="Calibri"/>
      <family val="2"/>
      <scheme val="minor"/>
    </font>
    <font>
      <b/>
      <sz val="11"/>
      <color theme="1"/>
      <name val="Calibri"/>
      <family val="2"/>
      <scheme val="minor"/>
    </font>
    <font>
      <sz val="10"/>
      <name val="Arial"/>
    </font>
    <font>
      <b/>
      <sz val="14"/>
      <color theme="1"/>
      <name val="Calibri"/>
      <family val="2"/>
      <scheme val="minor"/>
    </font>
    <font>
      <b/>
      <sz val="14"/>
      <color rgb="FFFF0000"/>
      <name val="Calibri"/>
      <family val="2"/>
      <scheme val="minor"/>
    </font>
    <font>
      <b/>
      <sz val="11"/>
      <color rgb="FFFF0000"/>
      <name val="Calibri"/>
      <family val="2"/>
      <scheme val="minor"/>
    </font>
    <font>
      <b/>
      <sz val="10"/>
      <name val="Arial"/>
      <family val="2"/>
    </font>
    <font>
      <sz val="12"/>
      <name val="Calibri"/>
      <family val="2"/>
      <scheme val="minor"/>
    </font>
    <font>
      <b/>
      <sz val="14"/>
      <color theme="0"/>
      <name val="Calibri"/>
      <family val="2"/>
      <scheme val="minor"/>
    </font>
    <font>
      <b/>
      <sz val="12"/>
      <color rgb="FFFF0000"/>
      <name val="Calibri"/>
      <family val="2"/>
      <scheme val="minor"/>
    </font>
    <font>
      <i/>
      <sz val="10"/>
      <color rgb="FFFF0000"/>
      <name val="Calibri"/>
      <family val="2"/>
      <scheme val="minor"/>
    </font>
    <font>
      <sz val="12"/>
      <color rgb="FFFF0000"/>
      <name val="Calibri"/>
      <family val="2"/>
      <scheme val="minor"/>
    </font>
    <font>
      <sz val="9"/>
      <color rgb="FF3B4151"/>
      <name val="Courier New"/>
      <family val="3"/>
    </font>
    <font>
      <i/>
      <sz val="12"/>
      <color theme="0"/>
      <name val="Calibri"/>
      <family val="2"/>
      <scheme val="minor"/>
    </font>
    <font>
      <b/>
      <sz val="12"/>
      <color rgb="FF00FF00"/>
      <name val="Calibri"/>
      <family val="2"/>
      <scheme val="minor"/>
    </font>
    <font>
      <sz val="9"/>
      <color rgb="FFFF0000"/>
      <name val="Calibri"/>
      <family val="2"/>
      <scheme val="minor"/>
    </font>
    <font>
      <u/>
      <sz val="11"/>
      <color theme="10"/>
      <name val="Calibri"/>
      <family val="2"/>
      <scheme val="minor"/>
    </font>
    <font>
      <sz val="11"/>
      <name val="Calibri"/>
      <family val="2"/>
      <scheme val="minor"/>
    </font>
  </fonts>
  <fills count="14">
    <fill>
      <patternFill patternType="none"/>
    </fill>
    <fill>
      <patternFill patternType="gray125"/>
    </fill>
    <fill>
      <patternFill patternType="solid">
        <fgColor theme="0" tint="-4.9989318521683403E-2"/>
        <bgColor indexed="64"/>
      </patternFill>
    </fill>
    <fill>
      <patternFill patternType="solid">
        <fgColor rgb="FF00FF00"/>
        <bgColor indexed="64"/>
      </patternFill>
    </fill>
    <fill>
      <patternFill patternType="solid">
        <fgColor rgb="FFCCFF99"/>
        <bgColor indexed="64"/>
      </patternFill>
    </fill>
    <fill>
      <patternFill patternType="solid">
        <fgColor rgb="FF66FF33"/>
        <bgColor indexed="64"/>
      </patternFill>
    </fill>
    <fill>
      <patternFill patternType="solid">
        <fgColor theme="2" tint="-0.499984740745262"/>
        <bgColor indexed="64"/>
      </patternFill>
    </fill>
    <fill>
      <patternFill patternType="solid">
        <fgColor theme="2"/>
        <bgColor indexed="64"/>
      </patternFill>
    </fill>
    <fill>
      <patternFill patternType="solid">
        <fgColor theme="0" tint="-0.499984740745262"/>
        <bgColor indexed="64"/>
      </patternFill>
    </fill>
    <fill>
      <patternFill patternType="solid">
        <fgColor theme="0" tint="-0.249977111117893"/>
        <bgColor indexed="64"/>
      </patternFill>
    </fill>
    <fill>
      <patternFill patternType="solid">
        <fgColor rgb="FFF2F2F2"/>
        <bgColor indexed="64"/>
      </patternFill>
    </fill>
    <fill>
      <patternFill patternType="solid">
        <fgColor theme="0"/>
        <bgColor indexed="64"/>
      </patternFill>
    </fill>
    <fill>
      <patternFill patternType="solid">
        <fgColor theme="0" tint="-0.34998626667073579"/>
        <bgColor indexed="64"/>
      </patternFill>
    </fill>
    <fill>
      <patternFill patternType="solid">
        <fgColor theme="1" tint="0.34998626667073579"/>
        <bgColor indexed="64"/>
      </patternFill>
    </fill>
  </fills>
  <borders count="113">
    <border>
      <left/>
      <right/>
      <top/>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diagonal/>
    </border>
    <border>
      <left style="medium">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249977111117893"/>
      </left>
      <right style="medium">
        <color indexed="64"/>
      </right>
      <top style="thin">
        <color theme="0" tint="-0.249977111117893"/>
      </top>
      <bottom/>
      <diagonal/>
    </border>
    <border>
      <left style="thin">
        <color theme="0" tint="-0.14999847407452621"/>
      </left>
      <right style="thin">
        <color theme="0" tint="-0.14999847407452621"/>
      </right>
      <top/>
      <bottom style="thin">
        <color theme="0" tint="-0.14999847407452621"/>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style="thin">
        <color theme="0" tint="-0.14999847407452621"/>
      </top>
      <bottom/>
      <diagonal/>
    </border>
    <border>
      <left style="thin">
        <color theme="0" tint="-0.14999847407452621"/>
      </left>
      <right/>
      <top/>
      <bottom/>
      <diagonal/>
    </border>
    <border>
      <left style="thin">
        <color theme="0" tint="-0.14999847407452621"/>
      </left>
      <right/>
      <top style="thin">
        <color theme="0" tint="-0.14999847407452621"/>
      </top>
      <bottom style="thin">
        <color theme="0" tint="-0.14999847407452621"/>
      </bottom>
      <diagonal/>
    </border>
    <border>
      <left style="medium">
        <color indexed="64"/>
      </left>
      <right/>
      <top/>
      <bottom/>
      <diagonal/>
    </border>
    <border>
      <left style="medium">
        <color indexed="64"/>
      </left>
      <right/>
      <top style="thin">
        <color theme="0" tint="-0.14999847407452621"/>
      </top>
      <bottom style="thin">
        <color theme="0" tint="-0.14999847407452621"/>
      </bottom>
      <diagonal/>
    </border>
    <border>
      <left style="medium">
        <color indexed="64"/>
      </left>
      <right/>
      <top style="thin">
        <color theme="0" tint="-0.14999847407452621"/>
      </top>
      <bottom/>
      <diagonal/>
    </border>
    <border>
      <left style="medium">
        <color theme="1"/>
      </left>
      <right/>
      <top style="medium">
        <color theme="1"/>
      </top>
      <bottom/>
      <diagonal/>
    </border>
    <border>
      <left/>
      <right style="medium">
        <color theme="1"/>
      </right>
      <top style="medium">
        <color theme="1"/>
      </top>
      <bottom/>
      <diagonal/>
    </border>
    <border>
      <left/>
      <right style="medium">
        <color theme="1"/>
      </right>
      <top style="medium">
        <color indexed="64"/>
      </top>
      <bottom/>
      <diagonal/>
    </border>
    <border>
      <left style="thin">
        <color theme="0" tint="-0.14999847407452621"/>
      </left>
      <right style="medium">
        <color theme="1"/>
      </right>
      <top style="thin">
        <color theme="0" tint="-0.14999847407452621"/>
      </top>
      <bottom style="thin">
        <color theme="0" tint="-0.14999847407452621"/>
      </bottom>
      <diagonal/>
    </border>
    <border>
      <left style="thin">
        <color theme="0" tint="-0.14999847407452621"/>
      </left>
      <right style="medium">
        <color theme="1"/>
      </right>
      <top/>
      <bottom style="thin">
        <color theme="0" tint="-0.14999847407452621"/>
      </bottom>
      <diagonal/>
    </border>
    <border>
      <left style="thin">
        <color theme="0" tint="-0.14999847407452621"/>
      </left>
      <right style="medium">
        <color theme="1"/>
      </right>
      <top/>
      <bottom/>
      <diagonal/>
    </border>
    <border>
      <left/>
      <right style="medium">
        <color theme="1"/>
      </right>
      <top/>
      <bottom style="medium">
        <color theme="1"/>
      </bottom>
      <diagonal/>
    </border>
    <border>
      <left style="thin">
        <color theme="0" tint="-0.14999847407452621"/>
      </left>
      <right/>
      <top style="thin">
        <color theme="0" tint="-0.14999847407452621"/>
      </top>
      <bottom/>
      <diagonal/>
    </border>
    <border>
      <left style="thin">
        <color theme="0" tint="-0.249977111117893"/>
      </left>
      <right style="thin">
        <color theme="0" tint="-0.249977111117893"/>
      </right>
      <top/>
      <bottom style="thin">
        <color theme="0" tint="-0.249977111117893"/>
      </bottom>
      <diagonal/>
    </border>
    <border>
      <left style="medium">
        <color indexed="64"/>
      </left>
      <right style="thin">
        <color theme="0" tint="-0.249977111117893"/>
      </right>
      <top style="thin">
        <color theme="0" tint="-0.14999847407452621"/>
      </top>
      <bottom style="thin">
        <color theme="0" tint="-0.14999847407452621"/>
      </bottom>
      <diagonal/>
    </border>
    <border>
      <left style="medium">
        <color indexed="64"/>
      </left>
      <right style="thin">
        <color theme="0" tint="-0.249977111117893"/>
      </right>
      <top/>
      <bottom/>
      <diagonal/>
    </border>
    <border>
      <left style="thin">
        <color theme="0" tint="-0.249977111117893"/>
      </left>
      <right style="thin">
        <color theme="0" tint="-0.249977111117893"/>
      </right>
      <top style="thin">
        <color theme="0" tint="-0.249977111117893"/>
      </top>
      <bottom style="thin">
        <color theme="0" tint="-0.14999847407452621"/>
      </bottom>
      <diagonal/>
    </border>
    <border>
      <left style="medium">
        <color indexed="64"/>
      </left>
      <right style="thin">
        <color theme="0" tint="-0.249977111117893"/>
      </right>
      <top/>
      <bottom style="thin">
        <color theme="0" tint="-0.14999847407452621"/>
      </bottom>
      <diagonal/>
    </border>
    <border>
      <left style="medium">
        <color theme="1"/>
      </left>
      <right style="thin">
        <color theme="0" tint="-0.249977111117893"/>
      </right>
      <top/>
      <bottom style="medium">
        <color theme="1"/>
      </bottom>
      <diagonal/>
    </border>
    <border>
      <left style="medium">
        <color theme="1"/>
      </left>
      <right style="thin">
        <color theme="0" tint="-0.14999847407452621"/>
      </right>
      <top style="thin">
        <color theme="0" tint="-0.14999847407452621"/>
      </top>
      <bottom style="thin">
        <color theme="0" tint="-0.14999847407452621"/>
      </bottom>
      <diagonal/>
    </border>
    <border>
      <left style="medium">
        <color theme="1"/>
      </left>
      <right/>
      <top/>
      <bottom/>
      <diagonal/>
    </border>
    <border>
      <left style="medium">
        <color theme="1"/>
      </left>
      <right style="thin">
        <color theme="0" tint="-0.249977111117893"/>
      </right>
      <top style="medium">
        <color indexed="64"/>
      </top>
      <bottom/>
      <diagonal/>
    </border>
    <border>
      <left style="medium">
        <color indexed="64"/>
      </left>
      <right/>
      <top/>
      <bottom style="medium">
        <color indexed="64"/>
      </bottom>
      <diagonal/>
    </border>
    <border>
      <left style="thin">
        <color theme="0" tint="-0.249977111117893"/>
      </left>
      <right style="thin">
        <color theme="0" tint="-0.249977111117893"/>
      </right>
      <top/>
      <bottom/>
      <diagonal/>
    </border>
    <border>
      <left/>
      <right style="thin">
        <color theme="0" tint="-0.249977111117893"/>
      </right>
      <top/>
      <bottom style="thin">
        <color theme="0" tint="-0.249977111117893"/>
      </bottom>
      <diagonal/>
    </border>
    <border>
      <left style="medium">
        <color indexed="64"/>
      </left>
      <right style="thin">
        <color theme="0" tint="-0.249977111117893"/>
      </right>
      <top style="thin">
        <color theme="0" tint="-0.499984740745262"/>
      </top>
      <bottom style="thin">
        <color theme="0" tint="-0.249977111117893"/>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right/>
      <top/>
      <bottom style="thin">
        <color theme="0" tint="-0.14999847407452621"/>
      </bottom>
      <diagonal/>
    </border>
    <border>
      <left style="medium">
        <color indexed="64"/>
      </left>
      <right style="thin">
        <color theme="0" tint="-0.14999847407452621"/>
      </right>
      <top style="medium">
        <color indexed="64"/>
      </top>
      <bottom style="thin">
        <color theme="0" tint="-0.14999847407452621"/>
      </bottom>
      <diagonal/>
    </border>
    <border>
      <left style="thin">
        <color theme="0" tint="-0.14999847407452621"/>
      </left>
      <right style="thin">
        <color theme="0" tint="-0.14999847407452621"/>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theme="0" tint="-0.249977111117893"/>
      </left>
      <right style="medium">
        <color indexed="64"/>
      </right>
      <top/>
      <bottom style="thin">
        <color theme="0" tint="-0.249977111117893"/>
      </bottom>
      <diagonal/>
    </border>
    <border>
      <left style="medium">
        <color indexed="64"/>
      </left>
      <right style="thin">
        <color theme="0" tint="-0.249977111117893"/>
      </right>
      <top style="medium">
        <color indexed="64"/>
      </top>
      <bottom style="medium">
        <color indexed="64"/>
      </bottom>
      <diagonal/>
    </border>
    <border>
      <left style="thin">
        <color theme="0" tint="-0.249977111117893"/>
      </left>
      <right style="thin">
        <color theme="0" tint="-0.249977111117893"/>
      </right>
      <top style="medium">
        <color indexed="64"/>
      </top>
      <bottom style="medium">
        <color indexed="64"/>
      </bottom>
      <diagonal/>
    </border>
    <border>
      <left style="thin">
        <color theme="0" tint="-0.249977111117893"/>
      </left>
      <right style="medium">
        <color indexed="64"/>
      </right>
      <top style="medium">
        <color indexed="64"/>
      </top>
      <bottom style="medium">
        <color indexed="64"/>
      </bottom>
      <diagonal/>
    </border>
    <border>
      <left/>
      <right style="thin">
        <color theme="0" tint="-0.249977111117893"/>
      </right>
      <top style="thin">
        <color theme="0" tint="-0.249977111117893"/>
      </top>
      <bottom/>
      <diagonal/>
    </border>
    <border>
      <left style="medium">
        <color indexed="64"/>
      </left>
      <right style="thin">
        <color theme="0" tint="-0.249977111117893"/>
      </right>
      <top style="thin">
        <color theme="0" tint="-0.14999847407452621"/>
      </top>
      <bottom/>
      <diagonal/>
    </border>
    <border>
      <left style="thin">
        <color theme="0" tint="-0.249977111117893"/>
      </left>
      <right style="thin">
        <color theme="0" tint="-0.249977111117893"/>
      </right>
      <top style="thin">
        <color theme="0" tint="-0.14999847407452621"/>
      </top>
      <bottom/>
      <diagonal/>
    </border>
    <border>
      <left style="medium">
        <color indexed="64"/>
      </left>
      <right style="thin">
        <color theme="0" tint="-0.249977111117893"/>
      </right>
      <top style="medium">
        <color indexed="64"/>
      </top>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medium">
        <color theme="1"/>
      </left>
      <right style="medium">
        <color theme="1"/>
      </right>
      <top style="medium">
        <color theme="1"/>
      </top>
      <bottom style="medium">
        <color theme="1"/>
      </bottom>
      <diagonal/>
    </border>
    <border>
      <left/>
      <right/>
      <top style="medium">
        <color theme="1"/>
      </top>
      <bottom style="medium">
        <color theme="1"/>
      </bottom>
      <diagonal/>
    </border>
    <border>
      <left/>
      <right style="medium">
        <color indexed="64"/>
      </right>
      <top style="medium">
        <color theme="1"/>
      </top>
      <bottom style="medium">
        <color theme="1"/>
      </bottom>
      <diagonal/>
    </border>
    <border>
      <left style="medium">
        <color indexed="64"/>
      </left>
      <right/>
      <top style="medium">
        <color theme="1"/>
      </top>
      <bottom style="medium">
        <color theme="1"/>
      </bottom>
      <diagonal/>
    </border>
    <border>
      <left/>
      <right style="medium">
        <color theme="1"/>
      </right>
      <top style="medium">
        <color theme="1"/>
      </top>
      <bottom style="medium">
        <color theme="1"/>
      </bottom>
      <diagonal/>
    </border>
    <border>
      <left/>
      <right style="thin">
        <color theme="0" tint="-0.14999847407452621"/>
      </right>
      <top style="medium">
        <color theme="1"/>
      </top>
      <bottom style="medium">
        <color theme="1"/>
      </bottom>
      <diagonal/>
    </border>
    <border>
      <left style="thin">
        <color theme="0" tint="-0.14999847407452621"/>
      </left>
      <right style="thin">
        <color theme="0" tint="-0.14999847407452621"/>
      </right>
      <top style="medium">
        <color theme="1"/>
      </top>
      <bottom style="medium">
        <color theme="1"/>
      </bottom>
      <diagonal/>
    </border>
    <border>
      <left style="thin">
        <color theme="0" tint="-0.14999847407452621"/>
      </left>
      <right style="medium">
        <color theme="1"/>
      </right>
      <top style="medium">
        <color theme="1"/>
      </top>
      <bottom style="medium">
        <color theme="1"/>
      </bottom>
      <diagonal/>
    </border>
    <border>
      <left/>
      <right style="thin">
        <color theme="0" tint="-0.14999847407452621"/>
      </right>
      <top/>
      <bottom style="medium">
        <color theme="1"/>
      </bottom>
      <diagonal/>
    </border>
    <border>
      <left style="thin">
        <color theme="0" tint="-0.14999847407452621"/>
      </left>
      <right style="thin">
        <color theme="0" tint="-0.14999847407452621"/>
      </right>
      <top/>
      <bottom style="medium">
        <color theme="1"/>
      </bottom>
      <diagonal/>
    </border>
    <border>
      <left style="thin">
        <color theme="0" tint="-0.14999847407452621"/>
      </left>
      <right/>
      <top/>
      <bottom style="medium">
        <color theme="1"/>
      </bottom>
      <diagonal/>
    </border>
    <border>
      <left style="medium">
        <color theme="1"/>
      </left>
      <right style="thin">
        <color theme="0" tint="-0.14999847407452621"/>
      </right>
      <top style="medium">
        <color theme="1"/>
      </top>
      <bottom style="medium">
        <color theme="1"/>
      </bottom>
      <diagonal/>
    </border>
    <border>
      <left style="medium">
        <color theme="1"/>
      </left>
      <right style="medium">
        <color theme="1"/>
      </right>
      <top/>
      <bottom style="thin">
        <color theme="0" tint="-0.14999847407452621"/>
      </bottom>
      <diagonal/>
    </border>
    <border>
      <left style="medium">
        <color theme="1"/>
      </left>
      <right style="thin">
        <color theme="0" tint="-0.14999847407452621"/>
      </right>
      <top style="medium">
        <color theme="1"/>
      </top>
      <bottom style="thin">
        <color theme="0" tint="-0.14999847407452621"/>
      </bottom>
      <diagonal/>
    </border>
    <border>
      <left style="thin">
        <color theme="0" tint="-0.14999847407452621"/>
      </left>
      <right style="thin">
        <color theme="0" tint="-0.14999847407452621"/>
      </right>
      <top style="medium">
        <color theme="1"/>
      </top>
      <bottom style="thin">
        <color theme="0" tint="-0.14999847407452621"/>
      </bottom>
      <diagonal/>
    </border>
    <border>
      <left style="thin">
        <color theme="0" tint="-0.14999847407452621"/>
      </left>
      <right/>
      <top style="medium">
        <color theme="1"/>
      </top>
      <bottom style="thin">
        <color theme="0" tint="-0.14999847407452621"/>
      </bottom>
      <diagonal/>
    </border>
    <border>
      <left style="thin">
        <color theme="0" tint="-0.14999847407452621"/>
      </left>
      <right style="medium">
        <color theme="1"/>
      </right>
      <top style="medium">
        <color theme="1"/>
      </top>
      <bottom style="thin">
        <color theme="0" tint="-0.14999847407452621"/>
      </bottom>
      <diagonal/>
    </border>
    <border>
      <left/>
      <right style="thin">
        <color theme="0" tint="-0.14999847407452621"/>
      </right>
      <top/>
      <bottom style="thin">
        <color theme="0" tint="-0.14999847407452621"/>
      </bottom>
      <diagonal/>
    </border>
    <border>
      <left style="medium">
        <color theme="1"/>
      </left>
      <right style="medium">
        <color theme="1"/>
      </right>
      <top style="thin">
        <color theme="0" tint="-0.14999847407452621"/>
      </top>
      <bottom style="medium">
        <color theme="1"/>
      </bottom>
      <diagonal/>
    </border>
    <border>
      <left style="medium">
        <color theme="1"/>
      </left>
      <right style="thin">
        <color theme="0" tint="-0.14999847407452621"/>
      </right>
      <top style="thin">
        <color theme="0" tint="-0.14999847407452621"/>
      </top>
      <bottom style="medium">
        <color theme="1"/>
      </bottom>
      <diagonal/>
    </border>
    <border>
      <left style="thin">
        <color theme="0" tint="-0.14999847407452621"/>
      </left>
      <right style="thin">
        <color theme="0" tint="-0.14999847407452621"/>
      </right>
      <top style="thin">
        <color theme="0" tint="-0.14999847407452621"/>
      </top>
      <bottom style="medium">
        <color theme="1"/>
      </bottom>
      <diagonal/>
    </border>
    <border>
      <left style="thin">
        <color theme="0" tint="-0.14999847407452621"/>
      </left>
      <right/>
      <top style="thin">
        <color theme="0" tint="-0.14999847407452621"/>
      </top>
      <bottom style="medium">
        <color theme="1"/>
      </bottom>
      <diagonal/>
    </border>
    <border>
      <left style="thin">
        <color theme="0" tint="-0.14999847407452621"/>
      </left>
      <right style="medium">
        <color theme="1"/>
      </right>
      <top style="thin">
        <color theme="0" tint="-0.14999847407452621"/>
      </top>
      <bottom style="medium">
        <color theme="1"/>
      </bottom>
      <diagonal/>
    </border>
    <border>
      <left/>
      <right style="thin">
        <color theme="0" tint="-0.14999847407452621"/>
      </right>
      <top style="thin">
        <color theme="0" tint="-0.14999847407452621"/>
      </top>
      <bottom style="medium">
        <color theme="1"/>
      </bottom>
      <diagonal/>
    </border>
    <border>
      <left style="medium">
        <color theme="1"/>
      </left>
      <right/>
      <top style="medium">
        <color theme="1"/>
      </top>
      <bottom style="thin">
        <color theme="0" tint="-0.14999847407452621"/>
      </bottom>
      <diagonal/>
    </border>
    <border>
      <left style="medium">
        <color theme="1"/>
      </left>
      <right/>
      <top style="thin">
        <color theme="0" tint="-0.14999847407452621"/>
      </top>
      <bottom style="medium">
        <color theme="1"/>
      </bottom>
      <diagonal/>
    </border>
    <border>
      <left/>
      <right style="thin">
        <color theme="0" tint="-0.14999847407452621"/>
      </right>
      <top style="medium">
        <color theme="1"/>
      </top>
      <bottom style="thin">
        <color theme="0" tint="-0.14999847407452621"/>
      </bottom>
      <diagonal/>
    </border>
    <border>
      <left/>
      <right/>
      <top style="medium">
        <color theme="1"/>
      </top>
      <bottom/>
      <diagonal/>
    </border>
    <border>
      <left/>
      <right style="medium">
        <color indexed="64"/>
      </right>
      <top style="medium">
        <color theme="1"/>
      </top>
      <bottom/>
      <diagonal/>
    </border>
    <border>
      <left style="medium">
        <color indexed="64"/>
      </left>
      <right style="thin">
        <color theme="0" tint="-0.14999847407452621"/>
      </right>
      <top style="medium">
        <color indexed="64"/>
      </top>
      <bottom style="medium">
        <color theme="1"/>
      </bottom>
      <diagonal/>
    </border>
    <border>
      <left style="thin">
        <color theme="0" tint="-0.14999847407452621"/>
      </left>
      <right style="thin">
        <color theme="0" tint="-0.14999847407452621"/>
      </right>
      <top style="medium">
        <color indexed="64"/>
      </top>
      <bottom style="medium">
        <color theme="1"/>
      </bottom>
      <diagonal/>
    </border>
    <border>
      <left style="thin">
        <color theme="0" tint="-0.14999847407452621"/>
      </left>
      <right style="medium">
        <color indexed="64"/>
      </right>
      <top style="medium">
        <color indexed="64"/>
      </top>
      <bottom style="medium">
        <color theme="1"/>
      </bottom>
      <diagonal/>
    </border>
    <border>
      <left style="medium">
        <color indexed="64"/>
      </left>
      <right style="thin">
        <color theme="0" tint="-0.14999847407452621"/>
      </right>
      <top style="medium">
        <color theme="1"/>
      </top>
      <bottom style="thin">
        <color theme="0" tint="-0.14999847407452621"/>
      </bottom>
      <diagonal/>
    </border>
    <border>
      <left style="thin">
        <color theme="0" tint="-0.14999847407452621"/>
      </left>
      <right style="medium">
        <color indexed="64"/>
      </right>
      <top style="medium">
        <color theme="1"/>
      </top>
      <bottom style="thin">
        <color theme="0" tint="-0.1499984740745262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style="thin">
        <color theme="0" tint="-0.249977111117893"/>
      </left>
      <right style="medium">
        <color indexed="64"/>
      </right>
      <top/>
      <bottom style="medium">
        <color indexed="64"/>
      </bottom>
      <diagonal/>
    </border>
    <border>
      <left style="medium">
        <color indexed="64"/>
      </left>
      <right style="thin">
        <color theme="0" tint="-0.249977111117893"/>
      </right>
      <top style="medium">
        <color indexed="64"/>
      </top>
      <bottom style="thin">
        <color theme="0" tint="-0.499984740745262"/>
      </bottom>
      <diagonal/>
    </border>
    <border>
      <left style="thin">
        <color theme="0" tint="-0.249977111117893"/>
      </left>
      <right/>
      <top/>
      <bottom style="thin">
        <color theme="0" tint="-0.249977111117893"/>
      </bottom>
      <diagonal/>
    </border>
    <border>
      <left style="thin">
        <color theme="0" tint="-0.249977111117893"/>
      </left>
      <right/>
      <top style="medium">
        <color indexed="64"/>
      </top>
      <bottom style="medium">
        <color indexed="64"/>
      </bottom>
      <diagonal/>
    </border>
    <border>
      <left style="medium">
        <color indexed="64"/>
      </left>
      <right style="medium">
        <color indexed="64"/>
      </right>
      <top style="medium">
        <color indexed="64"/>
      </top>
      <bottom style="thin">
        <color theme="0" tint="-0.249977111117893"/>
      </bottom>
      <diagonal/>
    </border>
    <border>
      <left style="medium">
        <color indexed="64"/>
      </left>
      <right style="medium">
        <color indexed="64"/>
      </right>
      <top/>
      <bottom style="thin">
        <color theme="0" tint="-0.249977111117893"/>
      </bottom>
      <diagonal/>
    </border>
    <border>
      <left style="medium">
        <color indexed="64"/>
      </left>
      <right style="medium">
        <color indexed="64"/>
      </right>
      <top style="thin">
        <color theme="0" tint="-0.249977111117893"/>
      </top>
      <bottom style="thin">
        <color theme="0" tint="-0.249977111117893"/>
      </bottom>
      <diagonal/>
    </border>
    <border>
      <left style="medium">
        <color indexed="64"/>
      </left>
      <right style="medium">
        <color indexed="64"/>
      </right>
      <top style="thin">
        <color theme="0" tint="-0.249977111117893"/>
      </top>
      <bottom/>
      <diagonal/>
    </border>
  </borders>
  <cellStyleXfs count="4">
    <xf numFmtId="0" fontId="0" fillId="0" borderId="0"/>
    <xf numFmtId="0" fontId="1" fillId="0" borderId="0"/>
    <xf numFmtId="0" fontId="5" fillId="0" borderId="0"/>
    <xf numFmtId="0" fontId="19" fillId="0" borderId="0" applyNumberFormat="0" applyFill="0" applyBorder="0" applyAlignment="0" applyProtection="0"/>
  </cellStyleXfs>
  <cellXfs count="258">
    <xf numFmtId="0" fontId="0" fillId="0" borderId="0" xfId="0"/>
    <xf numFmtId="0" fontId="1" fillId="0" borderId="0" xfId="1" applyFont="1" applyFill="1" applyBorder="1" applyAlignment="1" applyProtection="1">
      <alignment horizontal="left" vertical="center"/>
      <protection locked="0"/>
    </xf>
    <xf numFmtId="0" fontId="1" fillId="0" borderId="0" xfId="1" applyFont="1" applyFill="1" applyBorder="1" applyAlignment="1" applyProtection="1">
      <alignment vertical="center" wrapText="1"/>
      <protection locked="0"/>
    </xf>
    <xf numFmtId="0" fontId="1" fillId="0" borderId="0" xfId="1" applyFont="1" applyFill="1" applyBorder="1" applyAlignment="1" applyProtection="1">
      <alignment vertical="center"/>
    </xf>
    <xf numFmtId="0" fontId="1" fillId="0" borderId="0" xfId="1" applyFont="1" applyFill="1" applyBorder="1" applyAlignment="1" applyProtection="1">
      <alignment vertical="center" wrapText="1"/>
    </xf>
    <xf numFmtId="0" fontId="2" fillId="5" borderId="1" xfId="0" applyFont="1" applyFill="1" applyBorder="1" applyAlignment="1">
      <alignment wrapText="1"/>
    </xf>
    <xf numFmtId="0" fontId="6" fillId="5" borderId="1" xfId="0" applyFont="1" applyFill="1" applyBorder="1" applyAlignment="1">
      <alignment wrapText="1"/>
    </xf>
    <xf numFmtId="49" fontId="6" fillId="5" borderId="1" xfId="0" applyNumberFormat="1" applyFont="1" applyFill="1" applyBorder="1" applyAlignment="1">
      <alignment wrapText="1"/>
    </xf>
    <xf numFmtId="0" fontId="7" fillId="0" borderId="0" xfId="0" applyFont="1" applyAlignment="1">
      <alignment wrapText="1"/>
    </xf>
    <xf numFmtId="0" fontId="2" fillId="0" borderId="0" xfId="0" applyFont="1" applyAlignment="1">
      <alignment wrapText="1"/>
    </xf>
    <xf numFmtId="0" fontId="0" fillId="0" borderId="0" xfId="0" applyFont="1" applyAlignment="1">
      <alignment wrapText="1"/>
    </xf>
    <xf numFmtId="0" fontId="0" fillId="0" borderId="0" xfId="0" quotePrefix="1" applyFont="1" applyAlignment="1">
      <alignment wrapText="1"/>
    </xf>
    <xf numFmtId="49" fontId="2" fillId="5" borderId="1" xfId="0" applyNumberFormat="1" applyFont="1" applyFill="1" applyBorder="1" applyAlignment="1">
      <alignment wrapText="1"/>
    </xf>
    <xf numFmtId="49" fontId="2" fillId="0" borderId="0" xfId="0" applyNumberFormat="1" applyFont="1" applyAlignment="1">
      <alignment wrapText="1"/>
    </xf>
    <xf numFmtId="49" fontId="0" fillId="0" borderId="0" xfId="0" applyNumberFormat="1" applyAlignment="1">
      <alignment wrapText="1"/>
    </xf>
    <xf numFmtId="49" fontId="0" fillId="0" borderId="0" xfId="0" quotePrefix="1" applyNumberFormat="1" applyAlignment="1">
      <alignment wrapText="1"/>
    </xf>
    <xf numFmtId="0" fontId="0" fillId="0" borderId="0" xfId="0" applyNumberFormat="1" applyAlignment="1">
      <alignment wrapText="1"/>
    </xf>
    <xf numFmtId="49" fontId="0" fillId="0" borderId="0" xfId="0" applyNumberFormat="1" applyFont="1" applyAlignment="1">
      <alignment wrapText="1"/>
    </xf>
    <xf numFmtId="0" fontId="0" fillId="0" borderId="0" xfId="0" applyNumberFormat="1" applyFont="1" applyAlignment="1">
      <alignment wrapText="1"/>
    </xf>
    <xf numFmtId="0" fontId="0" fillId="5" borderId="1" xfId="0" applyFont="1" applyFill="1" applyBorder="1" applyAlignment="1">
      <alignment wrapText="1"/>
    </xf>
    <xf numFmtId="0" fontId="8" fillId="0" borderId="0" xfId="0" applyFont="1" applyAlignment="1">
      <alignment wrapText="1"/>
    </xf>
    <xf numFmtId="49" fontId="0" fillId="0" borderId="0" xfId="0" quotePrefix="1" applyNumberFormat="1" applyFont="1" applyAlignment="1">
      <alignment wrapText="1"/>
    </xf>
    <xf numFmtId="0" fontId="4" fillId="5" borderId="1" xfId="0" applyFont="1" applyFill="1" applyBorder="1" applyAlignment="1">
      <alignment wrapText="1"/>
    </xf>
    <xf numFmtId="0" fontId="9" fillId="5" borderId="1" xfId="2" applyFont="1" applyFill="1" applyBorder="1" applyAlignment="1">
      <alignment horizontal="center" wrapText="1"/>
    </xf>
    <xf numFmtId="0" fontId="9" fillId="5" borderId="1" xfId="2" applyFont="1" applyFill="1" applyBorder="1" applyAlignment="1">
      <alignment wrapText="1"/>
    </xf>
    <xf numFmtId="0" fontId="0" fillId="0" borderId="0" xfId="0" applyAlignment="1">
      <alignment horizontal="left" wrapText="1"/>
    </xf>
    <xf numFmtId="0" fontId="1" fillId="4" borderId="5" xfId="1" applyFont="1" applyFill="1" applyBorder="1" applyAlignment="1" applyProtection="1">
      <alignment horizontal="left" vertical="center"/>
      <protection locked="0"/>
    </xf>
    <xf numFmtId="0" fontId="1" fillId="3" borderId="5" xfId="1" applyFont="1" applyFill="1" applyBorder="1" applyAlignment="1" applyProtection="1">
      <alignment horizontal="left" vertical="center"/>
      <protection locked="0"/>
    </xf>
    <xf numFmtId="0" fontId="1" fillId="4" borderId="7" xfId="1" applyFont="1" applyFill="1" applyBorder="1" applyAlignment="1" applyProtection="1">
      <alignment horizontal="left" vertical="center"/>
      <protection locked="0"/>
    </xf>
    <xf numFmtId="0" fontId="1" fillId="0" borderId="7" xfId="1" applyFont="1" applyFill="1" applyBorder="1" applyAlignment="1" applyProtection="1">
      <alignment horizontal="left" vertical="center"/>
      <protection locked="0"/>
    </xf>
    <xf numFmtId="0" fontId="1" fillId="0" borderId="0" xfId="1" applyFont="1" applyBorder="1" applyProtection="1">
      <protection locked="0"/>
    </xf>
    <xf numFmtId="0" fontId="1" fillId="0" borderId="0" xfId="1" applyFont="1" applyBorder="1" applyAlignment="1" applyProtection="1">
      <protection locked="0"/>
    </xf>
    <xf numFmtId="0" fontId="1" fillId="0" borderId="0" xfId="0" applyFont="1" applyFill="1" applyBorder="1"/>
    <xf numFmtId="0" fontId="1" fillId="0" borderId="1" xfId="1" applyFont="1" applyFill="1" applyBorder="1" applyAlignment="1" applyProtection="1">
      <protection locked="0"/>
    </xf>
    <xf numFmtId="0" fontId="1" fillId="0" borderId="5" xfId="0" applyFont="1" applyBorder="1" applyAlignment="1">
      <alignment wrapText="1"/>
    </xf>
    <xf numFmtId="0" fontId="1" fillId="0" borderId="7" xfId="0" applyFont="1" applyBorder="1" applyAlignment="1">
      <alignment wrapText="1"/>
    </xf>
    <xf numFmtId="0" fontId="1" fillId="0" borderId="1" xfId="1" applyFont="1" applyFill="1" applyBorder="1" applyAlignment="1" applyProtection="1">
      <alignment wrapText="1"/>
      <protection locked="0"/>
    </xf>
    <xf numFmtId="0" fontId="1" fillId="0" borderId="2" xfId="0" applyFont="1" applyFill="1" applyBorder="1"/>
    <xf numFmtId="0" fontId="1" fillId="0" borderId="0" xfId="0" applyFont="1" applyBorder="1"/>
    <xf numFmtId="0" fontId="1" fillId="0" borderId="3" xfId="0" applyFont="1" applyFill="1" applyBorder="1"/>
    <xf numFmtId="0" fontId="1" fillId="0" borderId="4" xfId="0" applyFont="1" applyFill="1" applyBorder="1"/>
    <xf numFmtId="0" fontId="1" fillId="0" borderId="5" xfId="0" applyFont="1" applyFill="1" applyBorder="1" applyAlignment="1">
      <alignment horizontal="center" vertical="center"/>
    </xf>
    <xf numFmtId="0" fontId="10" fillId="0" borderId="5" xfId="2" applyFont="1" applyBorder="1" applyAlignment="1">
      <alignment wrapText="1"/>
    </xf>
    <xf numFmtId="0" fontId="10" fillId="0" borderId="7" xfId="2" applyFont="1" applyBorder="1" applyAlignment="1">
      <alignment wrapText="1"/>
    </xf>
    <xf numFmtId="0" fontId="10" fillId="0" borderId="7" xfId="1" applyFont="1" applyBorder="1" applyAlignment="1" applyProtection="1">
      <alignment wrapText="1"/>
      <protection locked="0"/>
    </xf>
    <xf numFmtId="0" fontId="12" fillId="0" borderId="0" xfId="1" applyFont="1" applyFill="1" applyBorder="1" applyAlignment="1" applyProtection="1">
      <alignment vertical="top" wrapText="1"/>
      <protection locked="0"/>
    </xf>
    <xf numFmtId="0" fontId="1" fillId="0" borderId="0" xfId="1" applyFont="1" applyFill="1" applyBorder="1" applyAlignment="1" applyProtection="1">
      <alignment vertical="top"/>
      <protection locked="0"/>
    </xf>
    <xf numFmtId="0" fontId="13" fillId="0" borderId="2" xfId="0" applyFont="1" applyFill="1" applyBorder="1" applyAlignment="1">
      <alignment wrapText="1"/>
    </xf>
    <xf numFmtId="0" fontId="1" fillId="4" borderId="12" xfId="1" applyFont="1" applyFill="1" applyBorder="1" applyAlignment="1" applyProtection="1">
      <alignment horizontal="left" vertical="center"/>
      <protection locked="0"/>
    </xf>
    <xf numFmtId="0" fontId="1" fillId="0" borderId="14" xfId="1" applyFont="1" applyFill="1" applyBorder="1" applyAlignment="1" applyProtection="1">
      <alignment horizontal="left" vertical="center"/>
      <protection locked="0"/>
    </xf>
    <xf numFmtId="0" fontId="1" fillId="0" borderId="5" xfId="0" applyFont="1" applyFill="1" applyBorder="1" applyAlignment="1">
      <alignment horizontal="center"/>
    </xf>
    <xf numFmtId="0" fontId="1" fillId="0" borderId="7" xfId="0" applyFont="1" applyFill="1" applyBorder="1" applyAlignment="1">
      <alignment horizontal="center"/>
    </xf>
    <xf numFmtId="0" fontId="1" fillId="0" borderId="0" xfId="0" applyFont="1" applyFill="1" applyBorder="1" applyAlignment="1">
      <alignment horizontal="center"/>
    </xf>
    <xf numFmtId="0" fontId="1" fillId="0" borderId="3" xfId="0" applyFont="1" applyFill="1" applyBorder="1" applyAlignment="1">
      <alignment horizontal="center"/>
    </xf>
    <xf numFmtId="0" fontId="1" fillId="0" borderId="4" xfId="0" applyFont="1" applyFill="1" applyBorder="1" applyAlignment="1">
      <alignment horizontal="center"/>
    </xf>
    <xf numFmtId="0" fontId="1" fillId="0" borderId="8" xfId="0" applyFont="1" applyFill="1" applyBorder="1" applyAlignment="1">
      <alignment horizontal="center" vertical="center"/>
    </xf>
    <xf numFmtId="0" fontId="1" fillId="0" borderId="6" xfId="0" applyFont="1" applyFill="1" applyBorder="1" applyAlignment="1">
      <alignment horizontal="center" vertical="center"/>
    </xf>
    <xf numFmtId="0" fontId="1" fillId="0" borderId="7" xfId="0" applyFont="1" applyFill="1" applyBorder="1" applyAlignment="1">
      <alignment horizontal="center" vertical="center"/>
    </xf>
    <xf numFmtId="0" fontId="14" fillId="0" borderId="0" xfId="1" applyFont="1" applyBorder="1" applyAlignment="1" applyProtection="1">
      <protection locked="0"/>
    </xf>
    <xf numFmtId="0" fontId="1" fillId="2" borderId="13" xfId="0" applyFont="1" applyFill="1" applyBorder="1"/>
    <xf numFmtId="0" fontId="1" fillId="0" borderId="0" xfId="0" applyFont="1" applyFill="1" applyBorder="1" applyAlignment="1">
      <alignment horizontal="left"/>
    </xf>
    <xf numFmtId="0" fontId="1" fillId="0" borderId="13" xfId="0" applyFont="1" applyBorder="1"/>
    <xf numFmtId="0" fontId="10" fillId="2" borderId="5" xfId="0" applyFont="1" applyFill="1" applyBorder="1" applyAlignment="1">
      <alignment wrapText="1"/>
    </xf>
    <xf numFmtId="0" fontId="1" fillId="0" borderId="2" xfId="0" applyFont="1" applyBorder="1"/>
    <xf numFmtId="0" fontId="1" fillId="0" borderId="17" xfId="0" applyFont="1" applyBorder="1"/>
    <xf numFmtId="0" fontId="1" fillId="2" borderId="28" xfId="1" applyFont="1" applyFill="1" applyBorder="1" applyProtection="1">
      <protection locked="0"/>
    </xf>
    <xf numFmtId="0" fontId="1" fillId="2" borderId="29" xfId="1" applyFont="1" applyFill="1" applyBorder="1" applyProtection="1">
      <protection locked="0"/>
    </xf>
    <xf numFmtId="0" fontId="1" fillId="2" borderId="30" xfId="1" applyFont="1" applyFill="1" applyBorder="1" applyProtection="1">
      <protection locked="0"/>
    </xf>
    <xf numFmtId="0" fontId="0" fillId="0" borderId="0" xfId="0" applyFill="1"/>
    <xf numFmtId="0" fontId="1" fillId="4" borderId="27" xfId="1" applyFont="1" applyFill="1" applyBorder="1" applyProtection="1">
      <protection locked="0"/>
    </xf>
    <xf numFmtId="0" fontId="1" fillId="4" borderId="31" xfId="1" applyFont="1" applyFill="1" applyBorder="1" applyAlignment="1" applyProtection="1">
      <alignment horizontal="left"/>
      <protection locked="0"/>
    </xf>
    <xf numFmtId="0" fontId="1" fillId="11" borderId="13" xfId="0" applyFont="1" applyFill="1" applyBorder="1"/>
    <xf numFmtId="0" fontId="1" fillId="9" borderId="34" xfId="1" applyFont="1" applyFill="1" applyBorder="1" applyAlignment="1" applyProtection="1">
      <alignment horizontal="left" vertical="center"/>
      <protection locked="0"/>
    </xf>
    <xf numFmtId="0" fontId="1" fillId="9" borderId="34" xfId="0" applyFont="1" applyFill="1" applyBorder="1" applyAlignment="1">
      <alignment vertical="center" wrapText="1"/>
    </xf>
    <xf numFmtId="49" fontId="1" fillId="9" borderId="10" xfId="0" applyNumberFormat="1" applyFont="1" applyFill="1" applyBorder="1" applyAlignment="1">
      <alignment horizontal="left" vertical="center" wrapText="1"/>
    </xf>
    <xf numFmtId="49" fontId="1" fillId="9" borderId="34" xfId="0" applyNumberFormat="1" applyFont="1" applyFill="1" applyBorder="1" applyAlignment="1">
      <alignment horizontal="left" vertical="center" wrapText="1"/>
    </xf>
    <xf numFmtId="0" fontId="10" fillId="7" borderId="14" xfId="2" applyFont="1" applyFill="1" applyBorder="1" applyAlignment="1">
      <alignment wrapText="1"/>
    </xf>
    <xf numFmtId="0" fontId="10" fillId="0" borderId="36" xfId="2" applyFont="1" applyBorder="1" applyAlignment="1">
      <alignment wrapText="1"/>
    </xf>
    <xf numFmtId="0" fontId="1" fillId="9" borderId="37" xfId="0" applyFont="1" applyFill="1" applyBorder="1" applyAlignment="1">
      <alignment wrapText="1"/>
    </xf>
    <xf numFmtId="0" fontId="1" fillId="9" borderId="34" xfId="0" applyFont="1" applyFill="1" applyBorder="1" applyAlignment="1">
      <alignment wrapText="1"/>
    </xf>
    <xf numFmtId="0" fontId="1" fillId="9" borderId="35" xfId="0" applyFont="1" applyFill="1" applyBorder="1" applyAlignment="1">
      <alignment wrapText="1"/>
    </xf>
    <xf numFmtId="0" fontId="1" fillId="9" borderId="38" xfId="0" applyFont="1" applyFill="1" applyBorder="1"/>
    <xf numFmtId="0" fontId="1" fillId="9" borderId="39" xfId="0" applyFont="1" applyFill="1" applyBorder="1"/>
    <xf numFmtId="0" fontId="1" fillId="9" borderId="40" xfId="0" applyFont="1" applyFill="1" applyBorder="1"/>
    <xf numFmtId="49" fontId="1" fillId="9" borderId="41" xfId="0" applyNumberFormat="1" applyFont="1" applyFill="1" applyBorder="1"/>
    <xf numFmtId="49" fontId="1" fillId="9" borderId="39" xfId="0" applyNumberFormat="1" applyFont="1" applyFill="1" applyBorder="1"/>
    <xf numFmtId="0" fontId="1" fillId="0" borderId="21" xfId="0" applyFont="1" applyFill="1" applyBorder="1"/>
    <xf numFmtId="0" fontId="1" fillId="0" borderId="20" xfId="0" applyFont="1" applyFill="1" applyBorder="1"/>
    <xf numFmtId="0" fontId="1" fillId="9" borderId="19" xfId="0" applyFont="1" applyFill="1" applyBorder="1"/>
    <xf numFmtId="0" fontId="1" fillId="9" borderId="16" xfId="0" applyFont="1" applyFill="1" applyBorder="1"/>
    <xf numFmtId="0" fontId="1" fillId="9" borderId="22" xfId="0" applyFont="1" applyFill="1" applyBorder="1"/>
    <xf numFmtId="0" fontId="1" fillId="2" borderId="21" xfId="0" applyFont="1" applyFill="1" applyBorder="1"/>
    <xf numFmtId="0" fontId="1" fillId="9" borderId="23" xfId="0" applyFont="1" applyFill="1" applyBorder="1"/>
    <xf numFmtId="0" fontId="1" fillId="9" borderId="22" xfId="0" applyFont="1" applyFill="1" applyBorder="1" applyAlignment="1">
      <alignment wrapText="1"/>
    </xf>
    <xf numFmtId="0" fontId="1" fillId="9" borderId="24" xfId="0" applyFont="1" applyFill="1" applyBorder="1"/>
    <xf numFmtId="22" fontId="1" fillId="2" borderId="0" xfId="0" applyNumberFormat="1" applyFont="1" applyFill="1" applyBorder="1"/>
    <xf numFmtId="0" fontId="1" fillId="0" borderId="32" xfId="0" applyFont="1" applyFill="1" applyBorder="1"/>
    <xf numFmtId="0" fontId="15" fillId="0" borderId="42" xfId="0" applyFont="1" applyFill="1" applyBorder="1"/>
    <xf numFmtId="49" fontId="1" fillId="0" borderId="0" xfId="0" applyNumberFormat="1" applyFont="1" applyFill="1" applyBorder="1" applyAlignment="1">
      <alignment horizontal="left" vertical="center" wrapText="1"/>
    </xf>
    <xf numFmtId="0" fontId="1" fillId="0" borderId="40" xfId="1" applyFont="1" applyBorder="1" applyAlignment="1" applyProtection="1">
      <protection locked="0"/>
    </xf>
    <xf numFmtId="49" fontId="1" fillId="4" borderId="20" xfId="0" applyNumberFormat="1" applyFont="1" applyFill="1" applyBorder="1" applyAlignment="1">
      <alignment horizontal="left"/>
    </xf>
    <xf numFmtId="49" fontId="1" fillId="2" borderId="20" xfId="0" applyNumberFormat="1" applyFont="1" applyFill="1" applyBorder="1" applyAlignment="1">
      <alignment horizontal="left"/>
    </xf>
    <xf numFmtId="0" fontId="1" fillId="0" borderId="5" xfId="0" applyFont="1" applyFill="1" applyBorder="1" applyAlignment="1">
      <alignment horizontal="center" wrapText="1"/>
    </xf>
    <xf numFmtId="0" fontId="10" fillId="0" borderId="9" xfId="2" applyFont="1" applyFill="1" applyBorder="1" applyAlignment="1">
      <alignment horizontal="center" wrapText="1"/>
    </xf>
    <xf numFmtId="0" fontId="1" fillId="9" borderId="45" xfId="1" applyFont="1" applyFill="1" applyBorder="1" applyProtection="1">
      <protection locked="0"/>
    </xf>
    <xf numFmtId="0" fontId="1" fillId="0" borderId="15" xfId="0" applyFont="1" applyBorder="1"/>
    <xf numFmtId="0" fontId="1" fillId="0" borderId="18" xfId="0" applyFont="1" applyBorder="1"/>
    <xf numFmtId="0" fontId="1" fillId="6" borderId="47" xfId="0" applyFont="1" applyFill="1" applyBorder="1"/>
    <xf numFmtId="0" fontId="11" fillId="6" borderId="48" xfId="1" applyFont="1" applyFill="1" applyBorder="1" applyAlignment="1" applyProtection="1">
      <alignment vertical="center"/>
      <protection locked="0"/>
    </xf>
    <xf numFmtId="0" fontId="1" fillId="9" borderId="49" xfId="0" applyFont="1" applyFill="1" applyBorder="1"/>
    <xf numFmtId="0" fontId="1" fillId="9" borderId="50" xfId="0" applyFont="1" applyFill="1" applyBorder="1"/>
    <xf numFmtId="0" fontId="1" fillId="9" borderId="51" xfId="0" applyFont="1" applyFill="1" applyBorder="1"/>
    <xf numFmtId="0" fontId="1" fillId="2" borderId="52" xfId="0" applyFont="1" applyFill="1" applyBorder="1"/>
    <xf numFmtId="0" fontId="1" fillId="9" borderId="53" xfId="0" applyFont="1" applyFill="1" applyBorder="1"/>
    <xf numFmtId="0" fontId="1" fillId="0" borderId="55" xfId="0" applyFont="1" applyBorder="1"/>
    <xf numFmtId="0" fontId="1" fillId="9" borderId="56" xfId="0" applyFont="1" applyFill="1" applyBorder="1"/>
    <xf numFmtId="0" fontId="1" fillId="11" borderId="57" xfId="0" applyFont="1" applyFill="1" applyBorder="1"/>
    <xf numFmtId="0" fontId="1" fillId="0" borderId="58" xfId="0" applyFont="1" applyBorder="1"/>
    <xf numFmtId="0" fontId="11" fillId="0" borderId="0" xfId="0" applyFont="1" applyFill="1" applyBorder="1" applyAlignment="1"/>
    <xf numFmtId="0" fontId="11" fillId="0" borderId="2" xfId="0" applyFont="1" applyFill="1" applyBorder="1" applyAlignment="1"/>
    <xf numFmtId="49" fontId="1" fillId="9" borderId="37" xfId="0" applyNumberFormat="1" applyFont="1" applyFill="1" applyBorder="1" applyAlignment="1">
      <alignment wrapText="1"/>
    </xf>
    <xf numFmtId="0" fontId="1" fillId="4" borderId="33" xfId="0" applyFont="1" applyFill="1" applyBorder="1" applyAlignment="1">
      <alignment wrapText="1"/>
    </xf>
    <xf numFmtId="0" fontId="10" fillId="0" borderId="33" xfId="2" applyFont="1" applyBorder="1" applyAlignment="1">
      <alignment wrapText="1"/>
    </xf>
    <xf numFmtId="0" fontId="10" fillId="0" borderId="59" xfId="2" applyFont="1" applyBorder="1" applyAlignment="1">
      <alignment wrapText="1"/>
    </xf>
    <xf numFmtId="0" fontId="10" fillId="2" borderId="12" xfId="0" applyFont="1" applyFill="1" applyBorder="1" applyAlignment="1">
      <alignment wrapText="1"/>
    </xf>
    <xf numFmtId="0" fontId="10" fillId="9" borderId="43" xfId="2" applyFont="1" applyFill="1" applyBorder="1" applyAlignment="1">
      <alignment wrapText="1"/>
    </xf>
    <xf numFmtId="0" fontId="1" fillId="2" borderId="6" xfId="1" applyFont="1" applyFill="1" applyBorder="1" applyAlignment="1" applyProtection="1">
      <alignment horizontal="center"/>
      <protection locked="0"/>
    </xf>
    <xf numFmtId="0" fontId="1" fillId="2" borderId="6" xfId="0" applyFont="1" applyFill="1" applyBorder="1" applyAlignment="1">
      <alignment horizontal="center"/>
    </xf>
    <xf numFmtId="0" fontId="1" fillId="2" borderId="11" xfId="1" applyFont="1" applyFill="1" applyBorder="1" applyAlignment="1" applyProtection="1">
      <alignment horizontal="center"/>
      <protection locked="0"/>
    </xf>
    <xf numFmtId="0" fontId="1" fillId="4" borderId="33" xfId="0" applyFont="1" applyFill="1" applyBorder="1" applyAlignment="1">
      <alignment horizontal="center" wrapText="1"/>
    </xf>
    <xf numFmtId="0" fontId="10" fillId="4" borderId="44" xfId="2" applyFont="1" applyFill="1" applyBorder="1" applyAlignment="1">
      <alignment horizontal="center" wrapText="1"/>
    </xf>
    <xf numFmtId="0" fontId="1" fillId="9" borderId="60" xfId="0" applyFont="1" applyFill="1" applyBorder="1" applyAlignment="1">
      <alignment horizontal="center" wrapText="1"/>
    </xf>
    <xf numFmtId="0" fontId="1" fillId="9" borderId="61" xfId="0" applyFont="1" applyFill="1" applyBorder="1" applyAlignment="1">
      <alignment horizontal="center" wrapText="1"/>
    </xf>
    <xf numFmtId="0" fontId="1" fillId="9" borderId="62" xfId="0" applyFont="1" applyFill="1" applyBorder="1" applyAlignment="1">
      <alignment horizontal="center" wrapText="1"/>
    </xf>
    <xf numFmtId="0" fontId="1" fillId="2" borderId="10" xfId="0" applyFont="1" applyFill="1" applyBorder="1" applyAlignment="1">
      <alignment horizontal="center"/>
    </xf>
    <xf numFmtId="0" fontId="1" fillId="0" borderId="12" xfId="0" applyFont="1" applyFill="1" applyBorder="1" applyAlignment="1">
      <alignment horizontal="center" wrapText="1"/>
    </xf>
    <xf numFmtId="0" fontId="10" fillId="0" borderId="63" xfId="2" applyFont="1" applyFill="1" applyBorder="1" applyAlignment="1">
      <alignment horizontal="center" wrapText="1"/>
    </xf>
    <xf numFmtId="0" fontId="1" fillId="12" borderId="60" xfId="0" applyFont="1" applyFill="1" applyBorder="1" applyAlignment="1">
      <alignment wrapText="1"/>
    </xf>
    <xf numFmtId="0" fontId="1" fillId="12" borderId="61" xfId="0" applyFont="1" applyFill="1" applyBorder="1" applyAlignment="1">
      <alignment horizontal="center" wrapText="1"/>
    </xf>
    <xf numFmtId="0" fontId="1" fillId="9" borderId="64" xfId="1" applyFont="1" applyFill="1" applyBorder="1" applyAlignment="1" applyProtection="1">
      <alignment horizontal="left" vertical="center"/>
      <protection locked="0"/>
    </xf>
    <xf numFmtId="0" fontId="16" fillId="8" borderId="49" xfId="1" applyFont="1" applyFill="1" applyBorder="1" applyAlignment="1" applyProtection="1">
      <alignment horizontal="left" vertical="top"/>
      <protection locked="0"/>
    </xf>
    <xf numFmtId="0" fontId="16" fillId="8" borderId="50" xfId="1" applyFont="1" applyFill="1" applyBorder="1" applyAlignment="1" applyProtection="1">
      <alignment horizontal="left" vertical="top"/>
      <protection locked="0"/>
    </xf>
    <xf numFmtId="0" fontId="3" fillId="8" borderId="51" xfId="1" applyFont="1" applyFill="1" applyBorder="1" applyAlignment="1" applyProtection="1">
      <alignment horizontal="left" vertical="top"/>
      <protection locked="0"/>
    </xf>
    <xf numFmtId="0" fontId="13" fillId="0" borderId="14" xfId="0" applyFont="1" applyFill="1" applyBorder="1" applyAlignment="1">
      <alignment wrapText="1"/>
    </xf>
    <xf numFmtId="0" fontId="10" fillId="9" borderId="60" xfId="0" applyFont="1" applyFill="1" applyBorder="1" applyAlignment="1">
      <alignment horizontal="center"/>
    </xf>
    <xf numFmtId="0" fontId="10" fillId="9" borderId="62" xfId="0" applyFont="1" applyFill="1" applyBorder="1" applyAlignment="1">
      <alignment horizontal="center"/>
    </xf>
    <xf numFmtId="0" fontId="11" fillId="6" borderId="46" xfId="1" applyFont="1" applyFill="1" applyBorder="1" applyAlignment="1" applyProtection="1">
      <alignment vertical="center"/>
      <protection locked="0"/>
    </xf>
    <xf numFmtId="0" fontId="18" fillId="0" borderId="0" xfId="0" applyFont="1" applyBorder="1" applyAlignment="1">
      <alignment wrapText="1"/>
    </xf>
    <xf numFmtId="0" fontId="0" fillId="0" borderId="0" xfId="0" applyAlignment="1">
      <alignment wrapText="1"/>
    </xf>
    <xf numFmtId="0" fontId="1" fillId="9" borderId="66" xfId="0" applyFont="1" applyFill="1" applyBorder="1" applyAlignment="1">
      <alignment vertical="center" wrapText="1"/>
    </xf>
    <xf numFmtId="49" fontId="1" fillId="9" borderId="67" xfId="0" applyNumberFormat="1" applyFont="1" applyFill="1" applyBorder="1" applyAlignment="1">
      <alignment horizontal="center" vertical="center" wrapText="1"/>
    </xf>
    <xf numFmtId="0" fontId="1" fillId="9" borderId="68" xfId="0" applyNumberFormat="1" applyFont="1" applyFill="1" applyBorder="1" applyAlignment="1">
      <alignment horizontal="center" vertical="center" wrapText="1"/>
    </xf>
    <xf numFmtId="0" fontId="1" fillId="0" borderId="42" xfId="0" applyFont="1" applyFill="1" applyBorder="1"/>
    <xf numFmtId="49" fontId="0" fillId="3" borderId="1" xfId="0" applyNumberFormat="1" applyFill="1" applyBorder="1" applyAlignment="1">
      <alignment wrapText="1"/>
    </xf>
    <xf numFmtId="0" fontId="0" fillId="3" borderId="1" xfId="0" applyFill="1" applyBorder="1" applyAlignment="1">
      <alignment wrapText="1"/>
    </xf>
    <xf numFmtId="164" fontId="1" fillId="10" borderId="65" xfId="1" applyNumberFormat="1" applyFont="1" applyFill="1" applyBorder="1" applyAlignment="1" applyProtection="1">
      <alignment horizontal="left"/>
      <protection locked="0"/>
    </xf>
    <xf numFmtId="0" fontId="1" fillId="4" borderId="54" xfId="0" applyFont="1" applyFill="1" applyBorder="1"/>
    <xf numFmtId="0" fontId="11" fillId="13" borderId="69" xfId="0" applyFont="1" applyFill="1" applyBorder="1" applyAlignment="1">
      <alignment wrapText="1"/>
    </xf>
    <xf numFmtId="0" fontId="1" fillId="9" borderId="69" xfId="0" applyFont="1" applyFill="1" applyBorder="1" applyAlignment="1">
      <alignment horizontal="left" wrapText="1"/>
    </xf>
    <xf numFmtId="0" fontId="1" fillId="9" borderId="74" xfId="0" applyFont="1" applyFill="1" applyBorder="1" applyAlignment="1">
      <alignment horizontal="left" wrapText="1"/>
    </xf>
    <xf numFmtId="0" fontId="1" fillId="9" borderId="75" xfId="0" applyFont="1" applyFill="1" applyBorder="1" applyAlignment="1">
      <alignment horizontal="left" wrapText="1"/>
    </xf>
    <xf numFmtId="0" fontId="1" fillId="9" borderId="76" xfId="0" applyFont="1" applyFill="1" applyBorder="1" applyAlignment="1">
      <alignment horizontal="left" wrapText="1"/>
    </xf>
    <xf numFmtId="0" fontId="10" fillId="9" borderId="77" xfId="0" applyFont="1" applyFill="1" applyBorder="1" applyAlignment="1">
      <alignment horizontal="left" wrapText="1"/>
    </xf>
    <xf numFmtId="0" fontId="1" fillId="9" borderId="78" xfId="0" applyFont="1" applyFill="1" applyBorder="1" applyAlignment="1">
      <alignment horizontal="left" wrapText="1"/>
    </xf>
    <xf numFmtId="0" fontId="1" fillId="9" borderId="79" xfId="0" applyFont="1" applyFill="1" applyBorder="1" applyAlignment="1">
      <alignment horizontal="left" wrapText="1"/>
    </xf>
    <xf numFmtId="0" fontId="0" fillId="9" borderId="80" xfId="0" applyFill="1" applyBorder="1" applyAlignment="1">
      <alignment horizontal="left" wrapText="1"/>
    </xf>
    <xf numFmtId="0" fontId="0" fillId="9" borderId="75" xfId="0" applyFill="1" applyBorder="1" applyAlignment="1">
      <alignment horizontal="left" wrapText="1"/>
    </xf>
    <xf numFmtId="0" fontId="0" fillId="9" borderId="76" xfId="0" applyFill="1" applyBorder="1" applyAlignment="1">
      <alignment horizontal="left" wrapText="1"/>
    </xf>
    <xf numFmtId="0" fontId="4" fillId="0" borderId="81" xfId="0" applyFont="1" applyBorder="1" applyAlignment="1">
      <alignment wrapText="1"/>
    </xf>
    <xf numFmtId="0" fontId="1" fillId="11" borderId="83" xfId="0" applyFont="1" applyFill="1" applyBorder="1" applyAlignment="1">
      <alignment horizontal="left" wrapText="1"/>
    </xf>
    <xf numFmtId="0" fontId="1" fillId="11" borderId="84" xfId="0" applyFont="1" applyFill="1" applyBorder="1" applyAlignment="1">
      <alignment horizontal="left" wrapText="1"/>
    </xf>
    <xf numFmtId="0" fontId="1" fillId="11" borderId="82" xfId="0" applyFont="1" applyFill="1" applyBorder="1" applyAlignment="1">
      <alignment wrapText="1"/>
    </xf>
    <xf numFmtId="0" fontId="1" fillId="11" borderId="83" xfId="0" applyFont="1" applyFill="1" applyBorder="1" applyAlignment="1">
      <alignment wrapText="1"/>
    </xf>
    <xf numFmtId="0" fontId="1" fillId="11" borderId="85" xfId="0" applyFont="1" applyFill="1" applyBorder="1" applyAlignment="1">
      <alignment wrapText="1"/>
    </xf>
    <xf numFmtId="0" fontId="0" fillId="0" borderId="86" xfId="0" applyBorder="1" applyAlignment="1">
      <alignment wrapText="1"/>
    </xf>
    <xf numFmtId="0" fontId="0" fillId="0" borderId="15" xfId="0" applyBorder="1" applyAlignment="1">
      <alignment wrapText="1"/>
    </xf>
    <xf numFmtId="0" fontId="19" fillId="0" borderId="15" xfId="3" applyBorder="1" applyAlignment="1">
      <alignment wrapText="1"/>
    </xf>
    <xf numFmtId="0" fontId="19" fillId="0" borderId="29" xfId="3" applyBorder="1" applyAlignment="1">
      <alignment wrapText="1"/>
    </xf>
    <xf numFmtId="0" fontId="4" fillId="0" borderId="87" xfId="0" applyFont="1" applyBorder="1" applyAlignment="1">
      <alignment wrapText="1"/>
    </xf>
    <xf numFmtId="0" fontId="1" fillId="11" borderId="89" xfId="0" applyFont="1" applyFill="1" applyBorder="1" applyAlignment="1">
      <alignment horizontal="left" wrapText="1"/>
    </xf>
    <xf numFmtId="0" fontId="1" fillId="11" borderId="90" xfId="0" applyFont="1" applyFill="1" applyBorder="1" applyAlignment="1">
      <alignment horizontal="left" wrapText="1"/>
    </xf>
    <xf numFmtId="0" fontId="1" fillId="11" borderId="88" xfId="0" applyFont="1" applyFill="1" applyBorder="1" applyAlignment="1">
      <alignment wrapText="1"/>
    </xf>
    <xf numFmtId="0" fontId="1" fillId="11" borderId="89" xfId="0" applyFont="1" applyFill="1" applyBorder="1" applyAlignment="1">
      <alignment wrapText="1"/>
    </xf>
    <xf numFmtId="0" fontId="20" fillId="11" borderId="89" xfId="3" applyFont="1" applyFill="1" applyBorder="1" applyAlignment="1">
      <alignment wrapText="1"/>
    </xf>
    <xf numFmtId="0" fontId="1" fillId="11" borderId="91" xfId="0" applyFont="1" applyFill="1" applyBorder="1" applyAlignment="1">
      <alignment wrapText="1"/>
    </xf>
    <xf numFmtId="0" fontId="0" fillId="0" borderId="92" xfId="0" applyBorder="1" applyAlignment="1">
      <alignment wrapText="1"/>
    </xf>
    <xf numFmtId="0" fontId="0" fillId="0" borderId="89" xfId="0" applyBorder="1" applyAlignment="1">
      <alignment wrapText="1"/>
    </xf>
    <xf numFmtId="0" fontId="19" fillId="0" borderId="89" xfId="3" applyBorder="1" applyAlignment="1">
      <alignment wrapText="1"/>
    </xf>
    <xf numFmtId="0" fontId="19" fillId="0" borderId="91" xfId="3" applyBorder="1" applyAlignment="1">
      <alignment wrapText="1"/>
    </xf>
    <xf numFmtId="0" fontId="20" fillId="0" borderId="0" xfId="0" applyFont="1" applyAlignment="1">
      <alignment wrapText="1"/>
    </xf>
    <xf numFmtId="0" fontId="1" fillId="4" borderId="11" xfId="0" applyFont="1" applyFill="1" applyBorder="1" applyAlignment="1">
      <alignment horizontal="center" vertical="center"/>
    </xf>
    <xf numFmtId="0" fontId="1" fillId="4" borderId="33" xfId="0" applyFont="1" applyFill="1" applyBorder="1" applyAlignment="1">
      <alignment horizontal="center" vertical="center"/>
    </xf>
    <xf numFmtId="0" fontId="1" fillId="4" borderId="59" xfId="0" applyFont="1" applyFill="1" applyBorder="1" applyAlignment="1">
      <alignment horizontal="center" vertical="center"/>
    </xf>
    <xf numFmtId="0" fontId="0" fillId="0" borderId="0" xfId="0" applyFill="1" applyAlignment="1">
      <alignment wrapText="1"/>
    </xf>
    <xf numFmtId="0" fontId="0" fillId="0" borderId="0" xfId="0" quotePrefix="1" applyFill="1" applyAlignment="1">
      <alignment wrapText="1"/>
    </xf>
    <xf numFmtId="0" fontId="6" fillId="3" borderId="1" xfId="0" applyFont="1" applyFill="1" applyBorder="1" applyAlignment="1">
      <alignment wrapText="1"/>
    </xf>
    <xf numFmtId="49" fontId="2" fillId="3" borderId="1" xfId="0" applyNumberFormat="1" applyFont="1" applyFill="1" applyBorder="1" applyAlignment="1">
      <alignment wrapText="1"/>
    </xf>
    <xf numFmtId="0" fontId="0" fillId="0" borderId="0" xfId="0" quotePrefix="1" applyNumberFormat="1" applyFont="1" applyAlignment="1">
      <alignment wrapText="1"/>
    </xf>
    <xf numFmtId="0" fontId="11" fillId="13" borderId="70" xfId="0" applyFont="1" applyFill="1" applyBorder="1" applyAlignment="1">
      <alignment wrapText="1"/>
    </xf>
    <xf numFmtId="0" fontId="1" fillId="9" borderId="70" xfId="0" applyFont="1" applyFill="1" applyBorder="1" applyAlignment="1">
      <alignment horizontal="left" wrapText="1"/>
    </xf>
    <xf numFmtId="0" fontId="1" fillId="11" borderId="93" xfId="0" applyFont="1" applyFill="1" applyBorder="1" applyAlignment="1">
      <alignment horizontal="left" wrapText="1"/>
    </xf>
    <xf numFmtId="0" fontId="1" fillId="11" borderId="94" xfId="0" applyFont="1" applyFill="1" applyBorder="1" applyAlignment="1">
      <alignment horizontal="left" wrapText="1"/>
    </xf>
    <xf numFmtId="0" fontId="1" fillId="11" borderId="95" xfId="0" applyFont="1" applyFill="1" applyBorder="1" applyAlignment="1">
      <alignment horizontal="left" wrapText="1"/>
    </xf>
    <xf numFmtId="0" fontId="1" fillId="11" borderId="92" xfId="0" applyFont="1" applyFill="1" applyBorder="1" applyAlignment="1">
      <alignment horizontal="left" wrapText="1"/>
    </xf>
    <xf numFmtId="0" fontId="1" fillId="9" borderId="98" xfId="0" applyFont="1" applyFill="1" applyBorder="1" applyAlignment="1">
      <alignment horizontal="left" wrapText="1"/>
    </xf>
    <xf numFmtId="0" fontId="1" fillId="9" borderId="99" xfId="0" applyFont="1" applyFill="1" applyBorder="1" applyAlignment="1">
      <alignment horizontal="left" wrapText="1"/>
    </xf>
    <xf numFmtId="0" fontId="1" fillId="9" borderId="100" xfId="0" applyFont="1" applyFill="1" applyBorder="1" applyAlignment="1">
      <alignment horizontal="left" wrapText="1"/>
    </xf>
    <xf numFmtId="0" fontId="1" fillId="11" borderId="101" xfId="0" applyFont="1" applyFill="1" applyBorder="1" applyAlignment="1">
      <alignment horizontal="left" wrapText="1"/>
    </xf>
    <xf numFmtId="0" fontId="1" fillId="11" borderId="102" xfId="0" applyFont="1" applyFill="1" applyBorder="1" applyAlignment="1">
      <alignment horizontal="left" wrapText="1"/>
    </xf>
    <xf numFmtId="0" fontId="1" fillId="11" borderId="56" xfId="0" applyFont="1" applyFill="1" applyBorder="1" applyAlignment="1">
      <alignment horizontal="left" wrapText="1"/>
    </xf>
    <xf numFmtId="0" fontId="1" fillId="11" borderId="57" xfId="0" applyFont="1" applyFill="1" applyBorder="1" applyAlignment="1">
      <alignment horizontal="left" wrapText="1"/>
    </xf>
    <xf numFmtId="0" fontId="1" fillId="11" borderId="58" xfId="0" applyFont="1" applyFill="1" applyBorder="1" applyAlignment="1">
      <alignment horizontal="left" wrapText="1"/>
    </xf>
    <xf numFmtId="0" fontId="1" fillId="4" borderId="16"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7" xfId="0" applyFont="1" applyFill="1" applyBorder="1" applyAlignment="1">
      <alignment horizontal="center" vertical="center"/>
    </xf>
    <xf numFmtId="0" fontId="1" fillId="4" borderId="6" xfId="0" applyFont="1" applyFill="1" applyBorder="1" applyAlignment="1">
      <alignment horizontal="center" vertical="center"/>
    </xf>
    <xf numFmtId="0" fontId="1" fillId="4" borderId="5" xfId="0" applyFont="1" applyFill="1" applyBorder="1" applyAlignment="1">
      <alignment horizontal="center" vertical="center"/>
    </xf>
    <xf numFmtId="0" fontId="1" fillId="4" borderId="7" xfId="0" applyFont="1" applyFill="1" applyBorder="1" applyAlignment="1">
      <alignment horizontal="center" vertical="center"/>
    </xf>
    <xf numFmtId="0" fontId="1" fillId="4" borderId="104" xfId="0" applyFont="1" applyFill="1" applyBorder="1" applyAlignment="1">
      <alignment horizontal="center" vertical="center"/>
    </xf>
    <xf numFmtId="0" fontId="1" fillId="4" borderId="54" xfId="0" applyFont="1" applyFill="1" applyBorder="1" applyAlignment="1">
      <alignment horizontal="center" vertical="center"/>
    </xf>
    <xf numFmtId="0" fontId="1" fillId="4" borderId="55" xfId="0" applyFont="1" applyFill="1" applyBorder="1" applyAlignment="1">
      <alignment horizontal="center" vertical="center"/>
    </xf>
    <xf numFmtId="0" fontId="1" fillId="4" borderId="56" xfId="0" applyFont="1" applyFill="1" applyBorder="1" applyAlignment="1">
      <alignment horizontal="center" vertical="center"/>
    </xf>
    <xf numFmtId="0" fontId="1" fillId="4" borderId="57" xfId="0" applyFont="1" applyFill="1" applyBorder="1" applyAlignment="1">
      <alignment horizontal="center" vertical="center"/>
    </xf>
    <xf numFmtId="0" fontId="1" fillId="4" borderId="58" xfId="0" applyFont="1" applyFill="1" applyBorder="1" applyAlignment="1">
      <alignment horizontal="center" vertical="center"/>
    </xf>
    <xf numFmtId="0" fontId="1" fillId="9" borderId="105" xfId="0" applyFont="1" applyFill="1" applyBorder="1" applyAlignment="1">
      <alignment horizontal="center" wrapText="1"/>
    </xf>
    <xf numFmtId="0" fontId="1" fillId="9" borderId="106" xfId="1" applyFont="1" applyFill="1" applyBorder="1" applyAlignment="1" applyProtection="1">
      <alignment wrapText="1"/>
      <protection locked="0"/>
    </xf>
    <xf numFmtId="0" fontId="10" fillId="0" borderId="68" xfId="1" applyFont="1" applyBorder="1" applyAlignment="1" applyProtection="1">
      <alignment vertical="center" wrapText="1"/>
      <protection locked="0"/>
    </xf>
    <xf numFmtId="0" fontId="1" fillId="0" borderId="22" xfId="0" applyFont="1" applyFill="1" applyBorder="1"/>
    <xf numFmtId="0" fontId="1" fillId="0" borderId="42" xfId="1" applyFont="1" applyFill="1" applyBorder="1" applyAlignment="1" applyProtection="1">
      <alignment vertical="center" wrapText="1"/>
    </xf>
    <xf numFmtId="0" fontId="1" fillId="0" borderId="4" xfId="1" applyFont="1" applyFill="1" applyBorder="1" applyAlignment="1" applyProtection="1">
      <alignment vertical="center" wrapText="1"/>
    </xf>
    <xf numFmtId="0" fontId="10" fillId="4" borderId="107" xfId="2" applyFont="1" applyFill="1" applyBorder="1" applyAlignment="1">
      <alignment horizontal="center" wrapText="1"/>
    </xf>
    <xf numFmtId="0" fontId="10" fillId="0" borderId="107" xfId="2" applyFont="1" applyFill="1" applyBorder="1" applyAlignment="1">
      <alignment horizontal="center" wrapText="1"/>
    </xf>
    <xf numFmtId="0" fontId="1" fillId="12" borderId="108" xfId="0" applyFont="1" applyFill="1" applyBorder="1" applyAlignment="1">
      <alignment horizontal="center" wrapText="1"/>
    </xf>
    <xf numFmtId="0" fontId="10" fillId="4" borderId="109" xfId="2" applyFont="1" applyFill="1" applyBorder="1" applyAlignment="1">
      <alignment horizontal="center" wrapText="1"/>
    </xf>
    <xf numFmtId="0" fontId="10" fillId="4" borderId="110" xfId="2" applyFont="1" applyFill="1" applyBorder="1" applyAlignment="1">
      <alignment horizontal="center" wrapText="1"/>
    </xf>
    <xf numFmtId="0" fontId="10" fillId="0" borderId="111" xfId="2" applyFont="1" applyFill="1" applyBorder="1" applyAlignment="1">
      <alignment horizontal="center" wrapText="1"/>
    </xf>
    <xf numFmtId="0" fontId="10" fillId="0" borderId="112" xfId="2" applyFont="1" applyFill="1" applyBorder="1" applyAlignment="1">
      <alignment horizontal="center" wrapText="1"/>
    </xf>
    <xf numFmtId="0" fontId="1" fillId="5" borderId="103" xfId="0" applyFont="1" applyFill="1" applyBorder="1" applyAlignment="1">
      <alignment horizontal="center" wrapText="1"/>
    </xf>
    <xf numFmtId="0" fontId="10" fillId="9" borderId="61" xfId="0" applyFont="1" applyFill="1" applyBorder="1" applyAlignment="1">
      <alignment horizontal="center"/>
    </xf>
    <xf numFmtId="0" fontId="11" fillId="6" borderId="46" xfId="1" applyFont="1" applyFill="1" applyBorder="1" applyAlignment="1" applyProtection="1">
      <alignment horizontal="left" vertical="center"/>
      <protection locked="0"/>
    </xf>
    <xf numFmtId="0" fontId="11" fillId="6" borderId="47" xfId="1" applyFont="1" applyFill="1" applyBorder="1" applyAlignment="1" applyProtection="1">
      <alignment horizontal="left" vertical="center"/>
      <protection locked="0"/>
    </xf>
    <xf numFmtId="0" fontId="11" fillId="6" borderId="48" xfId="1" applyFont="1" applyFill="1" applyBorder="1" applyAlignment="1" applyProtection="1">
      <alignment horizontal="left" vertical="center"/>
      <protection locked="0"/>
    </xf>
    <xf numFmtId="0" fontId="11" fillId="6" borderId="46" xfId="0" applyFont="1" applyFill="1" applyBorder="1" applyAlignment="1">
      <alignment horizontal="left" vertical="center"/>
    </xf>
    <xf numFmtId="0" fontId="11" fillId="6" borderId="47" xfId="0" applyFont="1" applyFill="1" applyBorder="1" applyAlignment="1">
      <alignment horizontal="left" vertical="center"/>
    </xf>
    <xf numFmtId="0" fontId="11" fillId="6" borderId="48" xfId="0" applyFont="1" applyFill="1" applyBorder="1" applyAlignment="1">
      <alignment horizontal="left" vertical="center"/>
    </xf>
    <xf numFmtId="0" fontId="11" fillId="6" borderId="46" xfId="1" applyFont="1" applyFill="1" applyBorder="1" applyAlignment="1" applyProtection="1">
      <protection locked="0"/>
    </xf>
    <xf numFmtId="0" fontId="11" fillId="6" borderId="48" xfId="1" applyFont="1" applyFill="1" applyBorder="1" applyAlignment="1" applyProtection="1">
      <protection locked="0"/>
    </xf>
    <xf numFmtId="0" fontId="11" fillId="6" borderId="25" xfId="1" applyFont="1" applyFill="1" applyBorder="1" applyAlignment="1" applyProtection="1">
      <alignment horizontal="left" vertical="center"/>
      <protection locked="0"/>
    </xf>
    <xf numFmtId="0" fontId="11" fillId="6" borderId="26" xfId="1" applyFont="1" applyFill="1" applyBorder="1" applyAlignment="1" applyProtection="1">
      <alignment horizontal="left" vertical="center"/>
      <protection locked="0"/>
    </xf>
    <xf numFmtId="0" fontId="11" fillId="6" borderId="46" xfId="0" applyFont="1" applyFill="1" applyBorder="1" applyAlignment="1">
      <alignment horizontal="left"/>
    </xf>
    <xf numFmtId="0" fontId="11" fillId="6" borderId="47" xfId="0" applyFont="1" applyFill="1" applyBorder="1" applyAlignment="1">
      <alignment horizontal="left"/>
    </xf>
    <xf numFmtId="0" fontId="11" fillId="6" borderId="48" xfId="0" applyFont="1" applyFill="1" applyBorder="1" applyAlignment="1">
      <alignment horizontal="left"/>
    </xf>
    <xf numFmtId="0" fontId="11" fillId="13" borderId="70" xfId="0" applyFont="1" applyFill="1" applyBorder="1" applyAlignment="1">
      <alignment wrapText="1"/>
    </xf>
    <xf numFmtId="0" fontId="11" fillId="13" borderId="96" xfId="0" applyFont="1" applyFill="1" applyBorder="1" applyAlignment="1">
      <alignment wrapText="1"/>
    </xf>
    <xf numFmtId="0" fontId="11" fillId="13" borderId="97" xfId="0" applyFont="1" applyFill="1" applyBorder="1" applyAlignment="1">
      <alignment wrapText="1"/>
    </xf>
    <xf numFmtId="0" fontId="11" fillId="13" borderId="71" xfId="0" applyFont="1" applyFill="1" applyBorder="1" applyAlignment="1">
      <alignment wrapText="1"/>
    </xf>
    <xf numFmtId="0" fontId="11" fillId="13" borderId="72" xfId="0" applyFont="1" applyFill="1" applyBorder="1" applyAlignment="1">
      <alignment wrapText="1"/>
    </xf>
    <xf numFmtId="0" fontId="11" fillId="13" borderId="73" xfId="0" applyFont="1" applyFill="1" applyBorder="1" applyAlignment="1">
      <alignment wrapText="1"/>
    </xf>
  </cellXfs>
  <cellStyles count="4">
    <cellStyle name="Hyperlink" xfId="3" builtinId="8"/>
    <cellStyle name="Normal" xfId="0" builtinId="0"/>
    <cellStyle name="Normal 2" xfId="2"/>
    <cellStyle name="Normal 2 2" xfId="1"/>
  </cellStyles>
  <dxfs count="0"/>
  <tableStyles count="0" defaultTableStyle="TableStyleMedium2" defaultPivotStyle="PivotStyleLight16"/>
  <colors>
    <mruColors>
      <color rgb="FF00FF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3</xdr:col>
      <xdr:colOff>60511</xdr:colOff>
      <xdr:row>0</xdr:row>
      <xdr:rowOff>60509</xdr:rowOff>
    </xdr:from>
    <xdr:to>
      <xdr:col>5</xdr:col>
      <xdr:colOff>2868706</xdr:colOff>
      <xdr:row>8</xdr:row>
      <xdr:rowOff>201705</xdr:rowOff>
    </xdr:to>
    <xdr:sp macro="" textlink="">
      <xdr:nvSpPr>
        <xdr:cNvPr id="2" name="TextBox 1"/>
        <xdr:cNvSpPr txBox="1"/>
      </xdr:nvSpPr>
      <xdr:spPr>
        <a:xfrm>
          <a:off x="6369423" y="60509"/>
          <a:ext cx="6483724" cy="2505637"/>
        </a:xfrm>
        <a:prstGeom prst="rect">
          <a:avLst/>
        </a:prstGeom>
        <a:solidFill>
          <a:schemeClr val="lt1"/>
        </a:solidFill>
        <a:ln w="9525" cmpd="sng">
          <a:solidFill>
            <a:srgbClr val="00FF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INSTRUCTIONS!</a:t>
          </a:r>
          <a:endParaRPr lang="en-US" sz="1200">
            <a:effectLst/>
          </a:endParaRPr>
        </a:p>
        <a:p>
          <a:r>
            <a:rPr lang="en-US" sz="1100">
              <a:solidFill>
                <a:schemeClr val="dk1"/>
              </a:solidFill>
              <a:effectLst/>
              <a:latin typeface="+mn-lt"/>
              <a:ea typeface="+mn-ea"/>
              <a:cs typeface="+mn-cs"/>
            </a:rPr>
            <a:t>1. Complete the required files in each table. </a:t>
          </a:r>
          <a:endParaRPr lang="en-US" sz="1100">
            <a:effectLst/>
          </a:endParaRPr>
        </a:p>
        <a:p>
          <a:r>
            <a:rPr lang="en-US" sz="1100">
              <a:solidFill>
                <a:schemeClr val="dk1"/>
              </a:solidFill>
              <a:effectLst/>
              <a:latin typeface="+mn-lt"/>
              <a:ea typeface="+mn-ea"/>
              <a:cs typeface="+mn-cs"/>
            </a:rPr>
            <a:t>2. Note: ODBC driver must be installed to run the query. See </a:t>
          </a:r>
          <a:endParaRPr lang="en-US" sz="1100">
            <a:effectLst/>
          </a:endParaRPr>
        </a:p>
        <a:p>
          <a:r>
            <a:rPr lang="en-US" sz="1100">
              <a:solidFill>
                <a:schemeClr val="dk1"/>
              </a:solidFill>
              <a:effectLst/>
              <a:latin typeface="+mn-lt"/>
              <a:ea typeface="+mn-ea"/>
              <a:cs typeface="+mn-cs"/>
            </a:rPr>
            <a:t>3. Click the "Generate Test Data" button to create the necessary data and templates for the next steps. Includes</a:t>
          </a:r>
          <a:r>
            <a:rPr lang="en-US" sz="1100" baseline="0">
              <a:solidFill>
                <a:schemeClr val="dk1"/>
              </a:solidFill>
              <a:effectLst/>
              <a:latin typeface="+mn-lt"/>
              <a:ea typeface="+mn-ea"/>
              <a:cs typeface="+mn-cs"/>
            </a:rPr>
            <a:t> selecting import containers from DB, creating trucking company, license plate and driver to DB, creating vessel visit, booking, preadvise and creating truck appointment.</a:t>
          </a:r>
          <a:endParaRPr lang="en-US" sz="1100">
            <a:effectLst/>
          </a:endParaRPr>
        </a:p>
        <a:p>
          <a:r>
            <a:rPr lang="en-US" sz="1100">
              <a:solidFill>
                <a:schemeClr val="dk1"/>
              </a:solidFill>
              <a:effectLst/>
              <a:latin typeface="+mn-lt"/>
              <a:ea typeface="+mn-ea"/>
              <a:cs typeface="+mn-cs"/>
            </a:rPr>
            <a:t>4. The Gate Lane and Report files required for Katalon execution must also be generated and stored in the same folder as this workbook. The number of lanes determines the files generated or both gate lane and report.</a:t>
          </a:r>
        </a:p>
        <a:p>
          <a:r>
            <a:rPr lang="en-US" sz="1100">
              <a:effectLst/>
            </a:rPr>
            <a:t>5. Search for the vessel visit in the UI and manually add cut-off.</a:t>
          </a:r>
        </a:p>
        <a:p>
          <a:r>
            <a:rPr lang="en-US" sz="1100">
              <a:effectLst/>
            </a:rPr>
            <a:t>6. Go to OPS</a:t>
          </a:r>
          <a:r>
            <a:rPr lang="en-US" sz="1100" baseline="0">
              <a:effectLst/>
            </a:rPr>
            <a:t>&gt;Yard Planning and look for QA_AUTOMATION_EX filter and change the outbound visit to the created vessel visit.</a:t>
          </a:r>
        </a:p>
        <a:p>
          <a:r>
            <a:rPr lang="en-US" sz="1100" baseline="0">
              <a:effectLst/>
            </a:rPr>
            <a:t>7. Start OPS simulation.</a:t>
          </a:r>
        </a:p>
        <a:p>
          <a:r>
            <a:rPr lang="en-US" sz="1100" baseline="0">
              <a:effectLst/>
            </a:rPr>
            <a:t>8. Run the batch file to run Katalon.</a:t>
          </a:r>
        </a:p>
      </xdr:txBody>
    </xdr:sp>
    <xdr:clientData/>
  </xdr:twoCellAnchor>
  <xdr:twoCellAnchor>
    <xdr:from>
      <xdr:col>2</xdr:col>
      <xdr:colOff>229159</xdr:colOff>
      <xdr:row>0</xdr:row>
      <xdr:rowOff>109819</xdr:rowOff>
    </xdr:from>
    <xdr:to>
      <xdr:col>2</xdr:col>
      <xdr:colOff>1572184</xdr:colOff>
      <xdr:row>0</xdr:row>
      <xdr:rowOff>471208</xdr:rowOff>
    </xdr:to>
    <xdr:sp macro="[0]!CheckEmptyCells" textlink="">
      <xdr:nvSpPr>
        <xdr:cNvPr id="6" name="Rectangle 5">
          <a:extLst>
            <a:ext uri="{FF2B5EF4-FFF2-40B4-BE49-F238E27FC236}">
              <a16:creationId xmlns:a16="http://schemas.microsoft.com/office/drawing/2014/main" id="{00000000-0008-0000-0700-000004000000}"/>
            </a:ext>
          </a:extLst>
        </xdr:cNvPr>
        <xdr:cNvSpPr/>
      </xdr:nvSpPr>
      <xdr:spPr>
        <a:xfrm>
          <a:off x="4700306" y="109819"/>
          <a:ext cx="1343025" cy="361389"/>
        </a:xfrm>
        <a:prstGeom prst="rect">
          <a:avLst/>
        </a:prstGeom>
        <a:solidFill>
          <a:srgbClr val="00FF00"/>
        </a:solidFill>
        <a:scene3d>
          <a:camera prst="orthographicFront"/>
          <a:lightRig rig="threePt" dir="t"/>
        </a:scene3d>
        <a:sp3d>
          <a:bevelT w="165100" prst="coolSlant"/>
        </a:sp3d>
      </xdr:spPr>
      <xdr:style>
        <a:lnRef idx="2">
          <a:schemeClr val="accent6">
            <a:shade val="50000"/>
          </a:schemeClr>
        </a:lnRef>
        <a:fillRef idx="1">
          <a:schemeClr val="accent6"/>
        </a:fillRef>
        <a:effectRef idx="0">
          <a:schemeClr val="accent6"/>
        </a:effectRef>
        <a:fontRef idx="minor">
          <a:schemeClr val="lt1"/>
        </a:fontRef>
      </xdr:style>
      <xdr:txBody>
        <a:bodyPr vertOverflow="clip" horzOverflow="clip" rtlCol="0" anchor="ctr" anchorCtr="0"/>
        <a:lstStyle/>
        <a:p>
          <a:pPr algn="ctr"/>
          <a:r>
            <a:rPr lang="en-US" sz="1100" b="1" u="none">
              <a:solidFill>
                <a:schemeClr val="tx1"/>
              </a:solidFill>
            </a:rPr>
            <a:t>Generate Test Data</a:t>
          </a:r>
        </a:p>
      </xdr:txBody>
    </xdr:sp>
    <xdr:clientData/>
  </xdr:twoCellAnchor>
  <mc:AlternateContent xmlns:mc="http://schemas.openxmlformats.org/markup-compatibility/2006">
    <mc:Choice xmlns:a14="http://schemas.microsoft.com/office/drawing/2010/main" Requires="a14">
      <xdr:twoCellAnchor editAs="oneCell">
        <xdr:from>
          <xdr:col>5</xdr:col>
          <xdr:colOff>57150</xdr:colOff>
          <xdr:row>0</xdr:row>
          <xdr:rowOff>419100</xdr:rowOff>
        </xdr:from>
        <xdr:to>
          <xdr:col>5</xdr:col>
          <xdr:colOff>752475</xdr:colOff>
          <xdr:row>1</xdr:row>
          <xdr:rowOff>114300</xdr:rowOff>
        </xdr:to>
        <xdr:sp macro="" textlink="">
          <xdr:nvSpPr>
            <xdr:cNvPr id="1031" name="CommandButton1"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257736</xdr:colOff>
      <xdr:row>1</xdr:row>
      <xdr:rowOff>33619</xdr:rowOff>
    </xdr:from>
    <xdr:to>
      <xdr:col>2</xdr:col>
      <xdr:colOff>1524560</xdr:colOff>
      <xdr:row>1</xdr:row>
      <xdr:rowOff>528919</xdr:rowOff>
    </xdr:to>
    <xdr:grpSp>
      <xdr:nvGrpSpPr>
        <xdr:cNvPr id="14" name="Group 13"/>
        <xdr:cNvGrpSpPr/>
      </xdr:nvGrpSpPr>
      <xdr:grpSpPr>
        <a:xfrm>
          <a:off x="4724961" y="567019"/>
          <a:ext cx="1266824" cy="495300"/>
          <a:chOff x="95250" y="47625"/>
          <a:chExt cx="1266824" cy="495300"/>
        </a:xfrm>
      </xdr:grpSpPr>
      <xdr:sp macro="" textlink="">
        <xdr:nvSpPr>
          <xdr:cNvPr id="15" name="Rectangle 14"/>
          <xdr:cNvSpPr/>
        </xdr:nvSpPr>
        <xdr:spPr>
          <a:xfrm>
            <a:off x="95250" y="95250"/>
            <a:ext cx="142875" cy="104775"/>
          </a:xfrm>
          <a:prstGeom prst="rect">
            <a:avLst/>
          </a:prstGeom>
          <a:solidFill>
            <a:srgbClr val="CCFF99"/>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6" name="TextBox 15"/>
          <xdr:cNvSpPr txBox="1"/>
        </xdr:nvSpPr>
        <xdr:spPr>
          <a:xfrm>
            <a:off x="247649" y="476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Requires</a:t>
            </a:r>
            <a:r>
              <a:rPr lang="en-US" sz="800" baseline="0"/>
              <a:t> User Input</a:t>
            </a:r>
            <a:endParaRPr lang="en-US" sz="800"/>
          </a:p>
        </xdr:txBody>
      </xdr:sp>
      <xdr:sp macro="" textlink="">
        <xdr:nvSpPr>
          <xdr:cNvPr id="17" name="Rectangle 16"/>
          <xdr:cNvSpPr/>
        </xdr:nvSpPr>
        <xdr:spPr>
          <a:xfrm>
            <a:off x="95250" y="268381"/>
            <a:ext cx="142875" cy="104775"/>
          </a:xfrm>
          <a:prstGeom prst="rect">
            <a:avLst/>
          </a:prstGeom>
          <a:solidFill>
            <a:schemeClr val="bg1">
              <a:lumMod val="95000"/>
            </a:schemeClr>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18" name="TextBox 17"/>
          <xdr:cNvSpPr txBox="1"/>
        </xdr:nvSpPr>
        <xdr:spPr>
          <a:xfrm>
            <a:off x="247649" y="220756"/>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Auto Populated</a:t>
            </a:r>
          </a:p>
        </xdr:txBody>
      </xdr:sp>
      <xdr:sp macro="" textlink="">
        <xdr:nvSpPr>
          <xdr:cNvPr id="19" name="Rectangle 18"/>
          <xdr:cNvSpPr/>
        </xdr:nvSpPr>
        <xdr:spPr>
          <a:xfrm>
            <a:off x="95250" y="438150"/>
            <a:ext cx="142875" cy="104775"/>
          </a:xfrm>
          <a:prstGeom prst="rect">
            <a:avLst/>
          </a:prstGeom>
          <a:solidFill>
            <a:sysClr val="window" lastClr="FFFFFF"/>
          </a:solidFill>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endParaRPr lang="en-US" sz="1100"/>
          </a:p>
        </xdr:txBody>
      </xdr:sp>
      <xdr:sp macro="" textlink="">
        <xdr:nvSpPr>
          <xdr:cNvPr id="20" name="TextBox 19"/>
          <xdr:cNvSpPr txBox="1"/>
        </xdr:nvSpPr>
        <xdr:spPr>
          <a:xfrm>
            <a:off x="247649" y="390525"/>
            <a:ext cx="1114425" cy="1428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800"/>
              <a:t>Pre-existing Data</a:t>
            </a:r>
          </a:p>
        </xdr:txBody>
      </xdr:sp>
    </xdr:grpSp>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76200</xdr:rowOff>
        </xdr:from>
        <xdr:to>
          <xdr:col>1</xdr:col>
          <xdr:colOff>2305050</xdr:colOff>
          <xdr:row>0</xdr:row>
          <xdr:rowOff>438150</xdr:rowOff>
        </xdr:to>
        <xdr:sp macro="" textlink="">
          <xdr:nvSpPr>
            <xdr:cNvPr id="1037" name="ComboBox1"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1</xdr:row>
          <xdr:rowOff>123825</xdr:rowOff>
        </xdr:from>
        <xdr:to>
          <xdr:col>1</xdr:col>
          <xdr:colOff>2362200</xdr:colOff>
          <xdr:row>1</xdr:row>
          <xdr:rowOff>400050</xdr:rowOff>
        </xdr:to>
        <xdr:sp macro="" textlink="">
          <xdr:nvSpPr>
            <xdr:cNvPr id="1038" name="ComboBox2"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hyperlink" Target="file:///\\lqnqa-a01\work\ZARA\zara\logs" TargetMode="External"/><Relationship Id="rId7" Type="http://schemas.openxmlformats.org/officeDocument/2006/relationships/hyperlink" Target="mailto:welcome@1" TargetMode="External"/><Relationship Id="rId2" Type="http://schemas.openxmlformats.org/officeDocument/2006/relationships/hyperlink" Target="https://zodiacappqa.lqn.zodiac-cloud.com/cygate/swg.html" TargetMode="External"/><Relationship Id="rId1" Type="http://schemas.openxmlformats.org/officeDocument/2006/relationships/hyperlink" Target="https://zodiacappqa.lqn.zodiac-cloud.com/zodiac/fdn/" TargetMode="External"/><Relationship Id="rId6" Type="http://schemas.openxmlformats.org/officeDocument/2006/relationships/hyperlink" Target="https://zodiacappqp.cz1.zodiac-cloud.com/zodiac/fdn/" TargetMode="External"/><Relationship Id="rId5" Type="http://schemas.openxmlformats.org/officeDocument/2006/relationships/hyperlink" Target="https://zodiacappqa.cz1.zodiac-cloud.com/cygate/swg.html" TargetMode="External"/><Relationship Id="rId4" Type="http://schemas.openxmlformats.org/officeDocument/2006/relationships/hyperlink" Target="file:///\\cz1qp-a01\work\ZARA\zara\logs\"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93"/>
  <sheetViews>
    <sheetView tabSelected="1" zoomScaleNormal="100" workbookViewId="0">
      <selection activeCell="B51" sqref="B51"/>
    </sheetView>
  </sheetViews>
  <sheetFormatPr defaultRowHeight="15.75" x14ac:dyDescent="0.25"/>
  <cols>
    <col min="1" max="1" width="29.5703125" style="32" customWidth="1"/>
    <col min="2" max="2" width="37.42578125" style="32" customWidth="1"/>
    <col min="3" max="3" width="27.5703125" style="32" customWidth="1"/>
    <col min="4" max="4" width="26.5703125" style="38" customWidth="1"/>
    <col min="5" max="5" width="28.5703125" style="38" customWidth="1"/>
    <col min="6" max="6" width="44" style="38" customWidth="1"/>
    <col min="7" max="7" width="20.5703125" style="38" customWidth="1"/>
    <col min="8" max="8" width="23.7109375" style="38" customWidth="1"/>
    <col min="9" max="9" width="9.140625" style="38" customWidth="1"/>
    <col min="10" max="10" width="27" style="38" customWidth="1"/>
    <col min="11" max="11" width="27.42578125" style="38" customWidth="1"/>
    <col min="12" max="12" width="9.140625" style="38" customWidth="1"/>
    <col min="13" max="16384" width="9.140625" style="38"/>
  </cols>
  <sheetData>
    <row r="1" spans="1:15" ht="42" customHeight="1" x14ac:dyDescent="0.25">
      <c r="A1" s="74" t="s">
        <v>0</v>
      </c>
    </row>
    <row r="2" spans="1:15" ht="45" customHeight="1" x14ac:dyDescent="0.25">
      <c r="A2" s="75" t="s">
        <v>1</v>
      </c>
    </row>
    <row r="3" spans="1:15" ht="17.25" customHeight="1" x14ac:dyDescent="0.25">
      <c r="A3" s="98"/>
    </row>
    <row r="4" spans="1:15" ht="17.25" customHeight="1" x14ac:dyDescent="0.25">
      <c r="A4" s="98"/>
    </row>
    <row r="5" spans="1:15" s="30" customFormat="1" x14ac:dyDescent="0.25">
      <c r="D5" s="1"/>
      <c r="E5" s="45"/>
      <c r="F5" s="46"/>
      <c r="G5" s="46"/>
      <c r="H5" s="2"/>
      <c r="I5" s="2"/>
    </row>
    <row r="6" spans="1:15" s="30" customFormat="1" x14ac:dyDescent="0.25">
      <c r="C6" s="31"/>
      <c r="E6" s="46"/>
      <c r="F6" s="46"/>
      <c r="G6" s="46"/>
      <c r="H6" s="1"/>
      <c r="I6" s="1"/>
      <c r="J6" s="1"/>
    </row>
    <row r="7" spans="1:15" s="30" customFormat="1" x14ac:dyDescent="0.25">
      <c r="C7" s="31"/>
      <c r="E7" s="46"/>
      <c r="F7" s="46"/>
      <c r="G7" s="46"/>
      <c r="J7" s="1"/>
    </row>
    <row r="8" spans="1:15" s="30" customFormat="1" x14ac:dyDescent="0.25">
      <c r="E8" s="46"/>
      <c r="F8" s="46"/>
      <c r="G8" s="46"/>
      <c r="J8" s="1"/>
    </row>
    <row r="9" spans="1:15" s="30" customFormat="1" x14ac:dyDescent="0.25">
      <c r="E9" s="46"/>
      <c r="F9" s="46"/>
      <c r="G9" s="46"/>
      <c r="J9" s="1"/>
    </row>
    <row r="10" spans="1:15" s="30" customFormat="1" x14ac:dyDescent="0.25">
      <c r="J10" s="1"/>
      <c r="K10" s="31"/>
      <c r="L10" s="31"/>
      <c r="M10" s="31"/>
      <c r="N10" s="31"/>
      <c r="O10" s="31"/>
    </row>
    <row r="11" spans="1:15" s="30" customFormat="1" x14ac:dyDescent="0.25">
      <c r="J11" s="1"/>
      <c r="K11" s="31"/>
      <c r="L11" s="31"/>
      <c r="M11" s="31"/>
      <c r="N11" s="31"/>
      <c r="O11" s="31"/>
    </row>
    <row r="12" spans="1:15" s="30" customFormat="1" x14ac:dyDescent="0.25">
      <c r="J12" s="32"/>
      <c r="K12" s="31"/>
      <c r="L12" s="31"/>
      <c r="M12" s="31"/>
      <c r="N12" s="31"/>
      <c r="O12" s="31"/>
    </row>
    <row r="13" spans="1:15" s="30" customFormat="1" ht="16.5" thickBot="1" x14ac:dyDescent="0.3">
      <c r="J13" s="32"/>
      <c r="K13" s="31"/>
      <c r="L13" s="31"/>
      <c r="M13" s="31"/>
      <c r="N13" s="31"/>
      <c r="O13" s="31"/>
    </row>
    <row r="14" spans="1:15" s="30" customFormat="1" ht="21.75" customHeight="1" thickBot="1" x14ac:dyDescent="0.3">
      <c r="A14" s="247" t="s">
        <v>24</v>
      </c>
      <c r="B14" s="248"/>
      <c r="C14" s="99"/>
      <c r="J14" s="32"/>
      <c r="K14" s="31"/>
      <c r="L14" s="31"/>
      <c r="M14" s="31"/>
      <c r="N14" s="31"/>
      <c r="O14" s="31"/>
    </row>
    <row r="15" spans="1:15" x14ac:dyDescent="0.25">
      <c r="A15" s="84" t="s">
        <v>54</v>
      </c>
      <c r="B15" s="69" t="s">
        <v>264</v>
      </c>
      <c r="C15" s="99"/>
    </row>
    <row r="16" spans="1:15" x14ac:dyDescent="0.25">
      <c r="A16" s="85" t="s">
        <v>55</v>
      </c>
      <c r="B16" s="65" t="s">
        <v>264</v>
      </c>
      <c r="C16" s="99"/>
    </row>
    <row r="17" spans="1:5" x14ac:dyDescent="0.25">
      <c r="A17" s="82" t="s">
        <v>56</v>
      </c>
      <c r="B17" s="66" t="s">
        <v>264</v>
      </c>
      <c r="C17" s="30"/>
    </row>
    <row r="18" spans="1:5" x14ac:dyDescent="0.25">
      <c r="A18" s="83" t="s">
        <v>57</v>
      </c>
      <c r="B18" s="67" t="s">
        <v>264</v>
      </c>
      <c r="C18" s="30"/>
    </row>
    <row r="19" spans="1:5" x14ac:dyDescent="0.25">
      <c r="A19" s="82" t="s">
        <v>58</v>
      </c>
      <c r="B19" s="65" t="s">
        <v>264</v>
      </c>
      <c r="C19" s="30"/>
    </row>
    <row r="20" spans="1:5" x14ac:dyDescent="0.25">
      <c r="A20" s="82" t="s">
        <v>59</v>
      </c>
      <c r="B20" s="66" t="s">
        <v>264</v>
      </c>
      <c r="C20" s="30"/>
    </row>
    <row r="21" spans="1:5" ht="16.5" thickBot="1" x14ac:dyDescent="0.3">
      <c r="A21" s="81" t="s">
        <v>60</v>
      </c>
      <c r="B21" s="70">
        <v>20</v>
      </c>
      <c r="C21" s="30"/>
    </row>
    <row r="22" spans="1:5" x14ac:dyDescent="0.25">
      <c r="B22" s="60"/>
    </row>
    <row r="23" spans="1:5" ht="16.5" thickBot="1" x14ac:dyDescent="0.3">
      <c r="B23" s="60"/>
    </row>
    <row r="24" spans="1:5" ht="19.5" thickBot="1" x14ac:dyDescent="0.35">
      <c r="A24" s="249" t="s">
        <v>110</v>
      </c>
      <c r="B24" s="250"/>
      <c r="C24" s="250"/>
      <c r="D24" s="250"/>
      <c r="E24" s="251"/>
    </row>
    <row r="25" spans="1:5" ht="18.75" hidden="1" x14ac:dyDescent="0.3">
      <c r="A25" s="105"/>
      <c r="B25" s="105"/>
      <c r="C25" s="105"/>
      <c r="D25" s="118"/>
      <c r="E25" s="119"/>
    </row>
    <row r="26" spans="1:5" hidden="1" x14ac:dyDescent="0.25">
      <c r="A26" s="105"/>
      <c r="B26" s="105"/>
      <c r="C26" s="105"/>
      <c r="D26" s="105"/>
      <c r="E26" s="63"/>
    </row>
    <row r="27" spans="1:5" hidden="1" x14ac:dyDescent="0.25">
      <c r="A27" s="105"/>
      <c r="B27" s="105"/>
      <c r="C27" s="105"/>
      <c r="D27" s="61"/>
      <c r="E27" s="63"/>
    </row>
    <row r="28" spans="1:5" hidden="1" x14ac:dyDescent="0.25">
      <c r="A28" s="105"/>
      <c r="B28" s="105"/>
      <c r="C28" s="105"/>
      <c r="D28" s="61"/>
      <c r="E28" s="63"/>
    </row>
    <row r="29" spans="1:5" hidden="1" x14ac:dyDescent="0.25">
      <c r="A29" s="105"/>
      <c r="B29" s="105"/>
      <c r="C29" s="105"/>
      <c r="D29" s="61"/>
      <c r="E29" s="63"/>
    </row>
    <row r="30" spans="1:5" ht="16.5" hidden="1" thickBot="1" x14ac:dyDescent="0.3">
      <c r="A30" s="105"/>
      <c r="B30" s="105"/>
      <c r="C30" s="105"/>
      <c r="D30" s="106"/>
      <c r="E30" s="63"/>
    </row>
    <row r="31" spans="1:5" ht="19.5" thickBot="1" x14ac:dyDescent="0.3">
      <c r="A31" s="239" t="s">
        <v>73</v>
      </c>
      <c r="B31" s="240"/>
      <c r="C31" s="146" t="s">
        <v>74</v>
      </c>
      <c r="D31" s="107"/>
      <c r="E31" s="108"/>
    </row>
    <row r="32" spans="1:5" x14ac:dyDescent="0.25">
      <c r="A32" s="90" t="s">
        <v>87</v>
      </c>
      <c r="B32" s="112" t="s">
        <v>263</v>
      </c>
      <c r="C32" s="113" t="s">
        <v>104</v>
      </c>
      <c r="D32" s="156" t="str">
        <f ca="1">"BKG_"&amp;TEXT(NOW(),"yyyymmdd") &amp; "01"</f>
        <v>BKG_2023091201</v>
      </c>
      <c r="E32" s="114"/>
    </row>
    <row r="33" spans="1:6" x14ac:dyDescent="0.25">
      <c r="A33" s="88" t="s">
        <v>88</v>
      </c>
      <c r="B33" s="32" t="s">
        <v>113</v>
      </c>
      <c r="C33" s="89" t="s">
        <v>9</v>
      </c>
      <c r="D33" s="71" t="s">
        <v>61</v>
      </c>
      <c r="E33" s="64"/>
    </row>
    <row r="34" spans="1:6" x14ac:dyDescent="0.25">
      <c r="A34" s="89" t="s">
        <v>89</v>
      </c>
      <c r="B34" s="96" t="s">
        <v>112</v>
      </c>
      <c r="C34" s="89" t="s">
        <v>100</v>
      </c>
      <c r="D34" s="59" t="s">
        <v>263</v>
      </c>
      <c r="E34" s="64"/>
    </row>
    <row r="35" spans="1:6" x14ac:dyDescent="0.25">
      <c r="A35" s="92" t="s">
        <v>90</v>
      </c>
      <c r="B35" s="86" t="s">
        <v>80</v>
      </c>
      <c r="C35" s="89" t="s">
        <v>11</v>
      </c>
      <c r="D35" s="71" t="s">
        <v>111</v>
      </c>
      <c r="E35" s="64"/>
    </row>
    <row r="36" spans="1:6" ht="16.5" thickBot="1" x14ac:dyDescent="0.3">
      <c r="A36" s="90" t="s">
        <v>91</v>
      </c>
      <c r="B36" s="86" t="s">
        <v>61</v>
      </c>
      <c r="C36" s="115" t="s">
        <v>12</v>
      </c>
      <c r="D36" s="116" t="s">
        <v>115</v>
      </c>
      <c r="E36" s="117"/>
    </row>
    <row r="37" spans="1:6" ht="16.5" thickBot="1" x14ac:dyDescent="0.3">
      <c r="A37" s="89" t="s">
        <v>92</v>
      </c>
      <c r="B37" s="86" t="s">
        <v>75</v>
      </c>
      <c r="C37" s="109" t="s">
        <v>101</v>
      </c>
      <c r="D37" s="110" t="s">
        <v>81</v>
      </c>
      <c r="E37" s="111" t="s">
        <v>82</v>
      </c>
    </row>
    <row r="38" spans="1:6" ht="31.5" x14ac:dyDescent="0.25">
      <c r="A38" s="93" t="s">
        <v>93</v>
      </c>
      <c r="B38" s="86" t="s">
        <v>75</v>
      </c>
      <c r="C38" s="218">
        <v>2000</v>
      </c>
      <c r="D38" s="219"/>
      <c r="E38" s="220">
        <v>5</v>
      </c>
    </row>
    <row r="39" spans="1:6" ht="24.75" x14ac:dyDescent="0.25">
      <c r="A39" s="94" t="s">
        <v>94</v>
      </c>
      <c r="B39" s="87" t="s">
        <v>114</v>
      </c>
      <c r="C39" s="212">
        <v>4000</v>
      </c>
      <c r="D39" s="213"/>
      <c r="E39" s="214">
        <v>5</v>
      </c>
      <c r="F39" s="147" t="s">
        <v>117</v>
      </c>
    </row>
    <row r="40" spans="1:6" x14ac:dyDescent="0.25">
      <c r="A40" s="94" t="s">
        <v>95</v>
      </c>
      <c r="B40" s="101" t="s">
        <v>262</v>
      </c>
      <c r="C40" s="212"/>
      <c r="D40" s="213"/>
      <c r="E40" s="214"/>
    </row>
    <row r="41" spans="1:6" x14ac:dyDescent="0.25">
      <c r="A41" s="94" t="s">
        <v>96</v>
      </c>
      <c r="B41" s="100" t="s">
        <v>262</v>
      </c>
      <c r="C41" s="212"/>
      <c r="D41" s="213"/>
      <c r="E41" s="214"/>
    </row>
    <row r="42" spans="1:6" x14ac:dyDescent="0.25">
      <c r="A42" s="88" t="s">
        <v>97</v>
      </c>
      <c r="B42" s="95" t="str">
        <f ca="1">TEXT(NOW(), "yyyy-mm-dd") &amp; "T" &amp; TEXT(NOW(), "hh:mm:ss") &amp; "+08:00"</f>
        <v>2023-09-12T14:59:27+08:00</v>
      </c>
      <c r="C42" s="212"/>
      <c r="D42" s="213"/>
      <c r="E42" s="214"/>
    </row>
    <row r="43" spans="1:6" x14ac:dyDescent="0.25">
      <c r="A43" s="89" t="s">
        <v>98</v>
      </c>
      <c r="B43" s="91" t="str">
        <f ca="1">TEXT(NOW() + 2, "yyyy-mm-dd") &amp; "T" &amp; TEXT(NOW(), "hh:mm:ss") &amp; "+08:00"</f>
        <v>2023-09-14T14:59:27+08:00</v>
      </c>
      <c r="C43" s="212"/>
      <c r="D43" s="213"/>
      <c r="E43" s="214"/>
    </row>
    <row r="44" spans="1:6" x14ac:dyDescent="0.25">
      <c r="A44" s="89" t="s">
        <v>99</v>
      </c>
      <c r="B44" s="91" t="str">
        <f ca="1">TEXT(NOW() + 1, "yyyy-mm-dd") &amp; "T" &amp; TEXT(NOW(), "hh:mm:ss") &amp; "+08:00"</f>
        <v>2023-09-13T14:59:27+08:00</v>
      </c>
      <c r="C44" s="212"/>
      <c r="D44" s="213"/>
      <c r="E44" s="214"/>
    </row>
    <row r="45" spans="1:6" x14ac:dyDescent="0.25">
      <c r="A45" s="88" t="s">
        <v>103</v>
      </c>
      <c r="B45" s="96" t="s">
        <v>83</v>
      </c>
      <c r="C45" s="212"/>
      <c r="D45" s="213"/>
      <c r="E45" s="214"/>
    </row>
    <row r="46" spans="1:6" x14ac:dyDescent="0.25">
      <c r="A46" s="88" t="s">
        <v>116</v>
      </c>
      <c r="B46" s="112" t="s">
        <v>262</v>
      </c>
      <c r="C46" s="212"/>
      <c r="D46" s="213"/>
      <c r="E46" s="214"/>
    </row>
    <row r="47" spans="1:6" ht="16.5" thickBot="1" x14ac:dyDescent="0.3">
      <c r="A47" s="97"/>
      <c r="B47" s="39"/>
      <c r="C47" s="221"/>
      <c r="D47" s="222"/>
      <c r="E47" s="223"/>
    </row>
    <row r="48" spans="1:6" ht="21" customHeight="1" x14ac:dyDescent="0.25">
      <c r="A48" s="68"/>
    </row>
    <row r="49" spans="1:15" ht="16.5" thickBot="1" x14ac:dyDescent="0.3"/>
    <row r="50" spans="1:15" s="30" customFormat="1" ht="34.5" customHeight="1" thickBot="1" x14ac:dyDescent="0.35">
      <c r="A50" s="239" t="s">
        <v>25</v>
      </c>
      <c r="B50" s="240"/>
      <c r="C50" s="240"/>
      <c r="D50" s="241"/>
      <c r="E50" s="245" t="s">
        <v>44</v>
      </c>
      <c r="F50" s="246"/>
      <c r="G50" s="58"/>
      <c r="J50" s="33"/>
      <c r="K50" s="31"/>
      <c r="L50" s="31"/>
      <c r="M50" s="31"/>
      <c r="N50" s="31"/>
      <c r="O50" s="31"/>
    </row>
    <row r="51" spans="1:15" s="30" customFormat="1" ht="114.75" customHeight="1" x14ac:dyDescent="0.25">
      <c r="A51" s="120" t="s">
        <v>102</v>
      </c>
      <c r="B51" s="121" t="s">
        <v>264</v>
      </c>
      <c r="C51" s="122"/>
      <c r="D51" s="123"/>
      <c r="E51" s="225" t="s">
        <v>41</v>
      </c>
      <c r="F51" s="226" t="s">
        <v>235</v>
      </c>
      <c r="J51" s="36"/>
      <c r="K51" s="31"/>
      <c r="L51" s="31"/>
      <c r="M51" s="31"/>
      <c r="N51" s="31"/>
      <c r="O51" s="31"/>
    </row>
    <row r="52" spans="1:15" s="30" customFormat="1" ht="107.25" customHeight="1" x14ac:dyDescent="0.25">
      <c r="A52" s="78" t="s">
        <v>9</v>
      </c>
      <c r="B52" s="62" t="s">
        <v>61</v>
      </c>
      <c r="C52" s="34"/>
      <c r="D52" s="35"/>
      <c r="E52" s="104" t="s">
        <v>42</v>
      </c>
      <c r="F52" s="44" t="s">
        <v>223</v>
      </c>
      <c r="J52" s="32"/>
      <c r="K52" s="31"/>
      <c r="L52" s="31"/>
      <c r="M52" s="31"/>
      <c r="N52" s="31"/>
      <c r="O52" s="31"/>
    </row>
    <row r="53" spans="1:15" s="30" customFormat="1" ht="32.25" customHeight="1" x14ac:dyDescent="0.25">
      <c r="A53" s="78" t="s">
        <v>10</v>
      </c>
      <c r="B53" s="62" t="s">
        <v>263</v>
      </c>
      <c r="C53" s="42"/>
      <c r="D53" s="43"/>
      <c r="E53" s="227"/>
      <c r="F53" s="37"/>
      <c r="J53" s="32"/>
      <c r="K53" s="31"/>
      <c r="L53" s="31"/>
      <c r="M53" s="31"/>
      <c r="N53" s="31"/>
      <c r="O53" s="31"/>
    </row>
    <row r="54" spans="1:15" s="30" customFormat="1" ht="53.25" customHeight="1" x14ac:dyDescent="0.25">
      <c r="A54" s="80" t="s">
        <v>11</v>
      </c>
      <c r="B54" s="62" t="s">
        <v>111</v>
      </c>
      <c r="C54" s="42"/>
      <c r="D54" s="43"/>
      <c r="E54" s="227"/>
      <c r="F54" s="47" t="s">
        <v>51</v>
      </c>
      <c r="J54" s="32"/>
      <c r="K54" s="31"/>
      <c r="L54" s="31"/>
      <c r="M54" s="31"/>
      <c r="N54" s="31"/>
      <c r="O54" s="31"/>
    </row>
    <row r="55" spans="1:15" s="30" customFormat="1" ht="18.75" customHeight="1" x14ac:dyDescent="0.25">
      <c r="A55" s="79" t="s">
        <v>12</v>
      </c>
      <c r="B55" s="62" t="s">
        <v>115</v>
      </c>
      <c r="C55" s="77"/>
      <c r="D55" s="43"/>
      <c r="E55" s="227"/>
      <c r="F55" s="37"/>
      <c r="J55" s="32"/>
      <c r="K55" s="31"/>
      <c r="L55" s="31"/>
      <c r="M55" s="31"/>
      <c r="N55" s="31"/>
      <c r="O55" s="31"/>
    </row>
    <row r="56" spans="1:15" s="30" customFormat="1" ht="15.75" customHeight="1" thickBot="1" x14ac:dyDescent="0.3">
      <c r="A56" s="80" t="s">
        <v>13</v>
      </c>
      <c r="B56" s="124" t="s">
        <v>234</v>
      </c>
      <c r="C56" s="125" t="s">
        <v>43</v>
      </c>
      <c r="D56" s="76" t="s">
        <v>61</v>
      </c>
      <c r="E56" s="228"/>
      <c r="F56" s="229"/>
      <c r="J56" s="4"/>
    </row>
    <row r="57" spans="1:15" s="30" customFormat="1" ht="15.75" customHeight="1" thickBot="1" x14ac:dyDescent="0.3">
      <c r="A57" s="131" t="s">
        <v>14</v>
      </c>
      <c r="B57" s="132" t="s">
        <v>15</v>
      </c>
      <c r="C57" s="132" t="s">
        <v>16</v>
      </c>
      <c r="D57" s="133" t="s">
        <v>230</v>
      </c>
      <c r="E57" s="224" t="s">
        <v>17</v>
      </c>
      <c r="J57" s="4"/>
    </row>
    <row r="58" spans="1:15" s="30" customFormat="1" ht="15.75" customHeight="1" x14ac:dyDescent="0.25">
      <c r="A58" s="128">
        <v>2000</v>
      </c>
      <c r="B58" s="129" t="s">
        <v>162</v>
      </c>
      <c r="C58" s="130" t="s">
        <v>163</v>
      </c>
      <c r="D58" s="230">
        <v>17000</v>
      </c>
      <c r="E58" s="233">
        <v>5</v>
      </c>
      <c r="J58" s="3"/>
    </row>
    <row r="59" spans="1:15" x14ac:dyDescent="0.25">
      <c r="A59" s="128">
        <v>4000</v>
      </c>
      <c r="B59" s="129" t="s">
        <v>162</v>
      </c>
      <c r="C59" s="130" t="s">
        <v>163</v>
      </c>
      <c r="D59" s="230">
        <v>18000</v>
      </c>
      <c r="E59" s="234">
        <v>5</v>
      </c>
      <c r="J59" s="32"/>
    </row>
    <row r="60" spans="1:15" x14ac:dyDescent="0.25">
      <c r="A60" s="128"/>
      <c r="B60" s="129"/>
      <c r="C60" s="130"/>
      <c r="D60" s="230"/>
      <c r="E60" s="234"/>
      <c r="J60" s="32"/>
    </row>
    <row r="61" spans="1:15" x14ac:dyDescent="0.25">
      <c r="A61" s="128"/>
      <c r="B61" s="129"/>
      <c r="C61" s="130"/>
      <c r="D61" s="230"/>
      <c r="E61" s="234"/>
      <c r="J61" s="32"/>
    </row>
    <row r="62" spans="1:15" s="30" customFormat="1" ht="15.75" customHeight="1" x14ac:dyDescent="0.25">
      <c r="A62" s="126"/>
      <c r="B62" s="102"/>
      <c r="C62" s="103"/>
      <c r="D62" s="231"/>
      <c r="E62" s="235"/>
      <c r="J62" s="3"/>
    </row>
    <row r="63" spans="1:15" x14ac:dyDescent="0.25">
      <c r="A63" s="127"/>
      <c r="B63" s="102"/>
      <c r="C63" s="103"/>
      <c r="D63" s="231"/>
      <c r="E63" s="235"/>
      <c r="J63" s="32"/>
    </row>
    <row r="64" spans="1:15" x14ac:dyDescent="0.25">
      <c r="A64" s="127"/>
      <c r="B64" s="102"/>
      <c r="C64" s="103"/>
      <c r="D64" s="231"/>
      <c r="E64" s="235"/>
      <c r="J64" s="32"/>
    </row>
    <row r="65" spans="1:10" x14ac:dyDescent="0.25">
      <c r="A65" s="127"/>
      <c r="B65" s="102"/>
      <c r="C65" s="103"/>
      <c r="D65" s="231"/>
      <c r="E65" s="235"/>
      <c r="J65" s="32"/>
    </row>
    <row r="66" spans="1:10" x14ac:dyDescent="0.25">
      <c r="A66" s="127"/>
      <c r="B66" s="102"/>
      <c r="C66" s="103"/>
      <c r="D66" s="231"/>
      <c r="E66" s="235"/>
      <c r="J66" s="32"/>
    </row>
    <row r="67" spans="1:10" ht="16.5" thickBot="1" x14ac:dyDescent="0.3">
      <c r="A67" s="134"/>
      <c r="B67" s="135"/>
      <c r="C67" s="136"/>
      <c r="D67" s="231"/>
      <c r="E67" s="236"/>
      <c r="J67" s="32"/>
    </row>
    <row r="68" spans="1:10" ht="16.5" thickBot="1" x14ac:dyDescent="0.3">
      <c r="A68" s="137"/>
      <c r="B68" s="138"/>
      <c r="C68" s="138" t="s">
        <v>18</v>
      </c>
      <c r="D68" s="232"/>
      <c r="E68" s="237">
        <f>SUM(E58:E67)</f>
        <v>10</v>
      </c>
      <c r="J68" s="32"/>
    </row>
    <row r="70" spans="1:10" ht="16.5" thickBot="1" x14ac:dyDescent="0.3"/>
    <row r="71" spans="1:10" ht="19.5" thickBot="1" x14ac:dyDescent="0.3">
      <c r="A71" s="242" t="s">
        <v>26</v>
      </c>
      <c r="B71" s="243"/>
      <c r="C71" s="244"/>
    </row>
    <row r="72" spans="1:10" x14ac:dyDescent="0.25">
      <c r="A72" s="149"/>
      <c r="B72" s="150" t="s">
        <v>5</v>
      </c>
      <c r="C72" s="151" t="s">
        <v>6</v>
      </c>
    </row>
    <row r="73" spans="1:10" x14ac:dyDescent="0.25">
      <c r="A73" s="73" t="s">
        <v>2</v>
      </c>
      <c r="B73" s="26">
        <v>1</v>
      </c>
      <c r="C73" s="28">
        <v>2</v>
      </c>
    </row>
    <row r="74" spans="1:10" x14ac:dyDescent="0.25">
      <c r="A74" s="72" t="s">
        <v>3</v>
      </c>
      <c r="B74" s="27" t="s">
        <v>8</v>
      </c>
      <c r="C74" s="29"/>
    </row>
    <row r="75" spans="1:10" x14ac:dyDescent="0.25">
      <c r="A75" s="139" t="s">
        <v>52</v>
      </c>
      <c r="B75" s="48">
        <v>2</v>
      </c>
      <c r="C75" s="49"/>
    </row>
    <row r="76" spans="1:10" ht="16.5" thickBot="1" x14ac:dyDescent="0.3">
      <c r="A76" s="152"/>
      <c r="B76" s="39"/>
      <c r="C76" s="40"/>
    </row>
    <row r="77" spans="1:10" ht="16.5" thickBot="1" x14ac:dyDescent="0.3">
      <c r="A77" s="140" t="s">
        <v>4</v>
      </c>
      <c r="B77" s="141"/>
      <c r="C77" s="142"/>
    </row>
    <row r="78" spans="1:10" ht="39.75" thickBot="1" x14ac:dyDescent="0.3">
      <c r="A78" s="139" t="s">
        <v>7</v>
      </c>
      <c r="B78" s="155" t="str">
        <f ca="1">TEXT(NOW(), "yyyy-mm-dd hh:mm")</f>
        <v>2023-09-12 14:59</v>
      </c>
      <c r="C78" s="143" t="s">
        <v>53</v>
      </c>
    </row>
    <row r="79" spans="1:10" ht="16.5" thickBot="1" x14ac:dyDescent="0.3">
      <c r="A79" s="144" t="s">
        <v>86</v>
      </c>
      <c r="B79" s="238" t="s">
        <v>84</v>
      </c>
      <c r="C79" s="145" t="s">
        <v>85</v>
      </c>
    </row>
    <row r="80" spans="1:10" x14ac:dyDescent="0.25">
      <c r="A80" s="190" t="s">
        <v>220</v>
      </c>
      <c r="B80" s="191" t="s">
        <v>222</v>
      </c>
      <c r="C80" s="192" t="s">
        <v>221</v>
      </c>
    </row>
    <row r="81" spans="1:3" x14ac:dyDescent="0.25">
      <c r="A81" s="215" t="s">
        <v>231</v>
      </c>
      <c r="B81" s="216" t="s">
        <v>222</v>
      </c>
      <c r="C81" s="217" t="s">
        <v>232</v>
      </c>
    </row>
    <row r="82" spans="1:3" x14ac:dyDescent="0.25">
      <c r="A82" s="56"/>
      <c r="B82" s="41"/>
      <c r="C82" s="57"/>
    </row>
    <row r="83" spans="1:3" x14ac:dyDescent="0.25">
      <c r="A83" s="56"/>
      <c r="B83" s="41"/>
      <c r="C83" s="57"/>
    </row>
    <row r="84" spans="1:3" x14ac:dyDescent="0.25">
      <c r="A84" s="56"/>
      <c r="B84" s="41"/>
      <c r="C84" s="57"/>
    </row>
    <row r="85" spans="1:3" x14ac:dyDescent="0.25">
      <c r="A85" s="56"/>
      <c r="B85" s="50"/>
      <c r="C85" s="57"/>
    </row>
    <row r="86" spans="1:3" x14ac:dyDescent="0.25">
      <c r="A86" s="50"/>
      <c r="B86" s="50"/>
      <c r="C86" s="51"/>
    </row>
    <row r="87" spans="1:3" x14ac:dyDescent="0.25">
      <c r="A87" s="56"/>
      <c r="B87" s="50"/>
      <c r="C87" s="51"/>
    </row>
    <row r="88" spans="1:3" x14ac:dyDescent="0.25">
      <c r="A88" s="50"/>
      <c r="B88" s="52"/>
      <c r="C88" s="51"/>
    </row>
    <row r="89" spans="1:3" x14ac:dyDescent="0.25">
      <c r="A89" s="52"/>
      <c r="B89" s="50"/>
      <c r="C89" s="51"/>
    </row>
    <row r="90" spans="1:3" x14ac:dyDescent="0.25">
      <c r="A90" s="52"/>
      <c r="B90" s="50"/>
      <c r="C90" s="51"/>
    </row>
    <row r="91" spans="1:3" x14ac:dyDescent="0.25">
      <c r="A91" s="52"/>
      <c r="B91" s="41"/>
      <c r="C91" s="51"/>
    </row>
    <row r="92" spans="1:3" x14ac:dyDescent="0.25">
      <c r="A92" s="52"/>
      <c r="B92" s="50"/>
      <c r="C92" s="51"/>
    </row>
    <row r="93" spans="1:3" ht="16.5" thickBot="1" x14ac:dyDescent="0.3">
      <c r="A93" s="55"/>
      <c r="B93" s="53"/>
      <c r="C93" s="54"/>
    </row>
  </sheetData>
  <mergeCells count="6">
    <mergeCell ref="A50:D50"/>
    <mergeCell ref="A71:C71"/>
    <mergeCell ref="E50:F50"/>
    <mergeCell ref="A14:B14"/>
    <mergeCell ref="A31:B31"/>
    <mergeCell ref="A24:E24"/>
  </mergeCells>
  <dataValidations count="10">
    <dataValidation type="list" allowBlank="1" showInputMessage="1" showErrorMessage="1" sqref="B74">
      <formula1>"Cy Gate Lane,Gate Admin Lane"</formula1>
    </dataValidation>
    <dataValidation type="list" allowBlank="1" showInputMessage="1" showErrorMessage="1" sqref="C58:C67">
      <formula1>"F,E"</formula1>
    </dataValidation>
    <dataValidation allowBlank="1" showErrorMessage="1" promptTitle="ATTENTION!" prompt="_x000a_Booking operator must be associated with the booking number!" sqref="D56"/>
    <dataValidation allowBlank="1" showInputMessage="1" showErrorMessage="1" promptTitle="ATTENTION!" prompt="_x000a_Number of data must not exceed the quantity set in the booking number!" sqref="E58:E61"/>
    <dataValidation type="list" allowBlank="1" showInputMessage="1" showErrorMessage="1" sqref="B91 B80:B84">
      <formula1>"IN,BOTH"</formula1>
    </dataValidation>
    <dataValidation type="list" allowBlank="1" showInputMessage="1" showErrorMessage="1" sqref="B34">
      <formula1>"SCHEDULED,ADHOC"</formula1>
    </dataValidation>
    <dataValidation type="custom" allowBlank="1" showInputMessage="1" showErrorMessage="1" sqref="B56">
      <formula1>FALSE</formula1>
    </dataValidation>
    <dataValidation type="list" allowBlank="1" showInputMessage="1" showErrorMessage="1" sqref="B58:B67">
      <formula1>"EX,ST"</formula1>
    </dataValidation>
    <dataValidation type="list" allowBlank="1" showInputMessage="1" showErrorMessage="1" sqref="B35">
      <formula1>"DOMESTIC,INTERNATIONAL,LIGHTER"</formula1>
    </dataValidation>
    <dataValidation allowBlank="1" showErrorMessage="1" promptTitle="ATTENTION!" prompt="_x000a_Number of data must not exceed the quantity set in the booking number!" sqref="D58:D67"/>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31" r:id="rId4" name="CommandButton1">
          <controlPr defaultSize="0" autoLine="0" r:id="rId5">
            <anchor moveWithCells="1">
              <from>
                <xdr:col>5</xdr:col>
                <xdr:colOff>57150</xdr:colOff>
                <xdr:row>0</xdr:row>
                <xdr:rowOff>419100</xdr:rowOff>
              </from>
              <to>
                <xdr:col>5</xdr:col>
                <xdr:colOff>752475</xdr:colOff>
                <xdr:row>1</xdr:row>
                <xdr:rowOff>114300</xdr:rowOff>
              </to>
            </anchor>
          </controlPr>
        </control>
      </mc:Choice>
      <mc:Fallback>
        <control shapeId="1031" r:id="rId4" name="CommandButton1"/>
      </mc:Fallback>
    </mc:AlternateContent>
    <mc:AlternateContent xmlns:mc="http://schemas.openxmlformats.org/markup-compatibility/2006">
      <mc:Choice Requires="x14">
        <control shapeId="1037" r:id="rId6" name="ComboBox1">
          <controlPr defaultSize="0" autoLine="0" autoPict="0" r:id="rId7">
            <anchor moveWithCells="1">
              <from>
                <xdr:col>1</xdr:col>
                <xdr:colOff>85725</xdr:colOff>
                <xdr:row>0</xdr:row>
                <xdr:rowOff>76200</xdr:rowOff>
              </from>
              <to>
                <xdr:col>1</xdr:col>
                <xdr:colOff>2305050</xdr:colOff>
                <xdr:row>0</xdr:row>
                <xdr:rowOff>438150</xdr:rowOff>
              </to>
            </anchor>
          </controlPr>
        </control>
      </mc:Choice>
      <mc:Fallback>
        <control shapeId="1037" r:id="rId6" name="ComboBox1"/>
      </mc:Fallback>
    </mc:AlternateContent>
    <mc:AlternateContent xmlns:mc="http://schemas.openxmlformats.org/markup-compatibility/2006">
      <mc:Choice Requires="x14">
        <control shapeId="1038" r:id="rId8" name="ComboBox2">
          <controlPr defaultSize="0" autoLine="0" r:id="rId9">
            <anchor moveWithCells="1">
              <from>
                <xdr:col>1</xdr:col>
                <xdr:colOff>114300</xdr:colOff>
                <xdr:row>1</xdr:row>
                <xdr:rowOff>123825</xdr:rowOff>
              </from>
              <to>
                <xdr:col>1</xdr:col>
                <xdr:colOff>2362200</xdr:colOff>
                <xdr:row>1</xdr:row>
                <xdr:rowOff>400050</xdr:rowOff>
              </to>
            </anchor>
          </controlPr>
        </control>
      </mc:Choice>
      <mc:Fallback>
        <control shapeId="1038" r:id="rId8" name="ComboBox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V7"/>
  <sheetViews>
    <sheetView zoomScale="85" zoomScaleNormal="85" workbookViewId="0">
      <selection activeCell="F11" sqref="F11"/>
    </sheetView>
  </sheetViews>
  <sheetFormatPr defaultRowHeight="15" x14ac:dyDescent="0.25"/>
  <cols>
    <col min="1" max="1" width="12.5703125" style="148" customWidth="1"/>
    <col min="2" max="2" width="13.5703125" style="148" customWidth="1"/>
    <col min="3" max="3" width="10.28515625" style="148" customWidth="1"/>
    <col min="4" max="5" width="9.140625" style="148"/>
    <col min="6" max="6" width="10.5703125" style="148" customWidth="1"/>
    <col min="7" max="7" width="11.7109375" style="148" customWidth="1"/>
    <col min="8" max="8" width="10.28515625" style="148" customWidth="1"/>
    <col min="9" max="10" width="9.140625" style="148"/>
    <col min="11" max="11" width="10.5703125" style="148" customWidth="1"/>
    <col min="12" max="12" width="11.7109375" style="148" customWidth="1"/>
    <col min="13" max="13" width="9.140625" style="148"/>
    <col min="14" max="14" width="13.85546875" style="148" customWidth="1"/>
    <col min="15" max="17" width="9.140625" style="148"/>
    <col min="18" max="18" width="18.7109375" style="148" customWidth="1"/>
    <col min="19" max="19" width="9.140625" style="148"/>
    <col min="20" max="20" width="17.140625" style="148" customWidth="1"/>
    <col min="21" max="21" width="16.85546875" style="148" customWidth="1"/>
    <col min="22" max="22" width="19.28515625" style="148" customWidth="1"/>
    <col min="23" max="16384" width="9.140625" style="148"/>
  </cols>
  <sheetData>
    <row r="1" spans="1:22" ht="19.5" thickBot="1" x14ac:dyDescent="0.35">
      <c r="A1" s="157" t="s">
        <v>170</v>
      </c>
      <c r="B1" s="252" t="s">
        <v>63</v>
      </c>
      <c r="C1" s="253"/>
      <c r="D1" s="253"/>
      <c r="E1" s="253"/>
      <c r="F1" s="253"/>
      <c r="G1" s="254"/>
      <c r="H1" s="198"/>
      <c r="I1" s="198"/>
      <c r="J1" s="198"/>
      <c r="K1" s="198"/>
      <c r="L1" s="198"/>
      <c r="M1" s="252" t="s">
        <v>171</v>
      </c>
      <c r="N1" s="252"/>
      <c r="O1" s="252"/>
      <c r="P1" s="252"/>
      <c r="Q1" s="255"/>
      <c r="R1" s="256" t="s">
        <v>172</v>
      </c>
      <c r="S1" s="252"/>
      <c r="T1" s="252"/>
      <c r="U1" s="252"/>
      <c r="V1" s="257"/>
    </row>
    <row r="2" spans="1:22" ht="32.25" thickBot="1" x14ac:dyDescent="0.3">
      <c r="A2" s="158"/>
      <c r="B2" s="199" t="s">
        <v>62</v>
      </c>
      <c r="C2" s="204" t="s">
        <v>64</v>
      </c>
      <c r="D2" s="205" t="s">
        <v>65</v>
      </c>
      <c r="E2" s="205" t="s">
        <v>218</v>
      </c>
      <c r="F2" s="205" t="s">
        <v>66</v>
      </c>
      <c r="G2" s="206" t="s">
        <v>67</v>
      </c>
      <c r="H2" s="159" t="s">
        <v>64</v>
      </c>
      <c r="I2" s="160" t="s">
        <v>65</v>
      </c>
      <c r="J2" s="160" t="s">
        <v>219</v>
      </c>
      <c r="K2" s="160" t="s">
        <v>66</v>
      </c>
      <c r="L2" s="161" t="s">
        <v>67</v>
      </c>
      <c r="M2" s="162" t="s">
        <v>105</v>
      </c>
      <c r="N2" s="163" t="s">
        <v>106</v>
      </c>
      <c r="O2" s="163" t="s">
        <v>107</v>
      </c>
      <c r="P2" s="163" t="s">
        <v>108</v>
      </c>
      <c r="Q2" s="164" t="s">
        <v>109</v>
      </c>
      <c r="R2" s="165" t="s">
        <v>173</v>
      </c>
      <c r="S2" s="166" t="s">
        <v>174</v>
      </c>
      <c r="T2" s="166" t="s">
        <v>175</v>
      </c>
      <c r="U2" s="166" t="s">
        <v>176</v>
      </c>
      <c r="V2" s="167" t="s">
        <v>177</v>
      </c>
    </row>
    <row r="3" spans="1:22" ht="60" x14ac:dyDescent="0.25">
      <c r="A3" s="168" t="s">
        <v>178</v>
      </c>
      <c r="B3" s="200" t="s">
        <v>68</v>
      </c>
      <c r="C3" s="207" t="s">
        <v>69</v>
      </c>
      <c r="D3" s="169">
        <v>7786</v>
      </c>
      <c r="E3" s="169" t="s">
        <v>70</v>
      </c>
      <c r="F3" s="169" t="s">
        <v>71</v>
      </c>
      <c r="G3" s="208" t="s">
        <v>72</v>
      </c>
      <c r="H3" s="202" t="s">
        <v>69</v>
      </c>
      <c r="I3" s="169">
        <v>7786</v>
      </c>
      <c r="J3" s="169" t="s">
        <v>70</v>
      </c>
      <c r="K3" s="169" t="s">
        <v>216</v>
      </c>
      <c r="L3" s="170" t="s">
        <v>72</v>
      </c>
      <c r="M3" s="171" t="s">
        <v>76</v>
      </c>
      <c r="N3" s="172" t="s">
        <v>75</v>
      </c>
      <c r="O3" s="172" t="s">
        <v>77</v>
      </c>
      <c r="P3" s="172" t="s">
        <v>78</v>
      </c>
      <c r="Q3" s="173" t="s">
        <v>79</v>
      </c>
      <c r="R3" s="174" t="s">
        <v>76</v>
      </c>
      <c r="S3" s="175" t="s">
        <v>179</v>
      </c>
      <c r="T3" s="176" t="s">
        <v>180</v>
      </c>
      <c r="U3" s="176" t="s">
        <v>181</v>
      </c>
      <c r="V3" s="177" t="s">
        <v>182</v>
      </c>
    </row>
    <row r="4" spans="1:22" ht="60.75" thickBot="1" x14ac:dyDescent="0.3">
      <c r="A4" s="178" t="s">
        <v>183</v>
      </c>
      <c r="B4" s="201" t="s">
        <v>68</v>
      </c>
      <c r="C4" s="209" t="s">
        <v>184</v>
      </c>
      <c r="D4" s="210">
        <v>5432</v>
      </c>
      <c r="E4" s="210" t="s">
        <v>185</v>
      </c>
      <c r="F4" s="210" t="s">
        <v>186</v>
      </c>
      <c r="G4" s="211" t="s">
        <v>78</v>
      </c>
      <c r="H4" s="203" t="s">
        <v>184</v>
      </c>
      <c r="I4" s="179">
        <v>5432</v>
      </c>
      <c r="J4" s="179" t="s">
        <v>185</v>
      </c>
      <c r="K4" s="179" t="s">
        <v>217</v>
      </c>
      <c r="L4" s="180" t="s">
        <v>72</v>
      </c>
      <c r="M4" s="181" t="s">
        <v>187</v>
      </c>
      <c r="N4" s="182" t="s">
        <v>188</v>
      </c>
      <c r="O4" s="182" t="s">
        <v>77</v>
      </c>
      <c r="P4" s="183" t="s">
        <v>189</v>
      </c>
      <c r="Q4" s="184" t="s">
        <v>79</v>
      </c>
      <c r="R4" s="185" t="s">
        <v>187</v>
      </c>
      <c r="S4" s="186" t="s">
        <v>190</v>
      </c>
      <c r="T4" s="187" t="s">
        <v>191</v>
      </c>
      <c r="U4" s="187" t="s">
        <v>192</v>
      </c>
      <c r="V4" s="188" t="s">
        <v>193</v>
      </c>
    </row>
    <row r="7" spans="1:22" x14ac:dyDescent="0.25">
      <c r="Q7" s="189"/>
    </row>
  </sheetData>
  <mergeCells count="3">
    <mergeCell ref="B1:G1"/>
    <mergeCell ref="M1:Q1"/>
    <mergeCell ref="R1:V1"/>
  </mergeCells>
  <hyperlinks>
    <hyperlink ref="T3" r:id="rId1"/>
    <hyperlink ref="U3" r:id="rId2"/>
    <hyperlink ref="V3" r:id="rId3"/>
    <hyperlink ref="V4" r:id="rId4"/>
    <hyperlink ref="U4" r:id="rId5"/>
    <hyperlink ref="T4" r:id="rId6"/>
    <hyperlink ref="P4" r:id="rId7"/>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Q15"/>
  <sheetViews>
    <sheetView topLeftCell="A16" workbookViewId="0">
      <selection activeCell="I24" sqref="I24"/>
    </sheetView>
  </sheetViews>
  <sheetFormatPr defaultRowHeight="15" x14ac:dyDescent="0.25"/>
  <cols>
    <col min="1" max="1" width="14.5703125" style="14" customWidth="1"/>
    <col min="2" max="7" width="9.140625" style="148"/>
    <col min="8" max="9" width="9.140625" style="148" customWidth="1"/>
    <col min="10" max="16384" width="9.140625" style="148"/>
  </cols>
  <sheetData>
    <row r="1" spans="1:43" ht="45" x14ac:dyDescent="0.25">
      <c r="A1" s="153" t="s">
        <v>119</v>
      </c>
      <c r="B1" s="154" t="s">
        <v>120</v>
      </c>
      <c r="C1" s="154" t="s">
        <v>121</v>
      </c>
      <c r="D1" s="154" t="s">
        <v>122</v>
      </c>
      <c r="E1" s="154" t="s">
        <v>123</v>
      </c>
      <c r="F1" s="154" t="s">
        <v>124</v>
      </c>
      <c r="G1" s="154" t="s">
        <v>125</v>
      </c>
      <c r="H1" s="154" t="s">
        <v>126</v>
      </c>
      <c r="I1" s="154" t="s">
        <v>127</v>
      </c>
      <c r="J1" s="154" t="s">
        <v>128</v>
      </c>
      <c r="K1" s="154" t="s">
        <v>129</v>
      </c>
      <c r="L1" s="154" t="s">
        <v>130</v>
      </c>
      <c r="M1" s="154" t="s">
        <v>131</v>
      </c>
      <c r="N1" s="154" t="s">
        <v>132</v>
      </c>
      <c r="O1" s="154" t="s">
        <v>133</v>
      </c>
      <c r="P1" s="154" t="s">
        <v>134</v>
      </c>
      <c r="Q1" s="154" t="s">
        <v>135</v>
      </c>
      <c r="R1" s="154" t="s">
        <v>136</v>
      </c>
      <c r="S1" s="154" t="s">
        <v>137</v>
      </c>
      <c r="T1" s="154" t="s">
        <v>138</v>
      </c>
      <c r="U1" s="154" t="s">
        <v>139</v>
      </c>
      <c r="V1" s="154" t="s">
        <v>140</v>
      </c>
      <c r="W1" s="154" t="s">
        <v>141</v>
      </c>
      <c r="X1" s="154" t="s">
        <v>142</v>
      </c>
      <c r="Y1" s="154" t="s">
        <v>143</v>
      </c>
      <c r="Z1" s="154" t="s">
        <v>144</v>
      </c>
      <c r="AA1" s="154" t="s">
        <v>145</v>
      </c>
      <c r="AB1" s="154" t="s">
        <v>146</v>
      </c>
      <c r="AC1" s="154" t="s">
        <v>147</v>
      </c>
      <c r="AD1" s="154" t="s">
        <v>148</v>
      </c>
      <c r="AE1" s="154" t="s">
        <v>149</v>
      </c>
      <c r="AF1" s="154" t="s">
        <v>150</v>
      </c>
      <c r="AG1" s="154" t="s">
        <v>151</v>
      </c>
      <c r="AH1" s="154" t="s">
        <v>152</v>
      </c>
      <c r="AI1" s="154" t="s">
        <v>153</v>
      </c>
      <c r="AJ1" s="154" t="s">
        <v>154</v>
      </c>
      <c r="AK1" s="154" t="s">
        <v>155</v>
      </c>
      <c r="AL1" s="154" t="s">
        <v>156</v>
      </c>
      <c r="AM1" s="154" t="s">
        <v>157</v>
      </c>
      <c r="AN1" s="154" t="s">
        <v>158</v>
      </c>
      <c r="AO1" s="154" t="s">
        <v>159</v>
      </c>
      <c r="AP1" s="154" t="s">
        <v>160</v>
      </c>
      <c r="AQ1" s="154" t="s">
        <v>161</v>
      </c>
    </row>
    <row r="2" spans="1:43" ht="45" x14ac:dyDescent="0.25">
      <c r="A2" s="14" t="s">
        <v>295</v>
      </c>
      <c r="B2" s="15" t="s">
        <v>264</v>
      </c>
      <c r="C2" s="10" t="s">
        <v>265</v>
      </c>
      <c r="D2" s="10" t="s">
        <v>265</v>
      </c>
      <c r="E2" s="148" t="s">
        <v>168</v>
      </c>
      <c r="F2" s="148" t="s">
        <v>309</v>
      </c>
      <c r="G2" s="148" t="s">
        <v>310</v>
      </c>
      <c r="Z2" s="148" t="s">
        <v>166</v>
      </c>
      <c r="AA2" s="148" t="s">
        <v>167</v>
      </c>
      <c r="AD2" s="148" t="s">
        <v>240</v>
      </c>
      <c r="AE2" s="148">
        <v>2000</v>
      </c>
      <c r="AF2" s="148" t="s">
        <v>61</v>
      </c>
      <c r="AG2" s="148" t="s">
        <v>169</v>
      </c>
      <c r="AH2" s="148" t="s">
        <v>245</v>
      </c>
      <c r="AI2" s="148" t="s">
        <v>166</v>
      </c>
      <c r="AJ2" s="148" t="s">
        <v>167</v>
      </c>
      <c r="AM2" s="148" t="s">
        <v>239</v>
      </c>
      <c r="AN2" s="148">
        <v>2000</v>
      </c>
      <c r="AO2" s="148" t="s">
        <v>61</v>
      </c>
      <c r="AP2" s="148" t="s">
        <v>169</v>
      </c>
      <c r="AQ2" s="148" t="s">
        <v>246</v>
      </c>
    </row>
    <row r="3" spans="1:43" ht="45" x14ac:dyDescent="0.25">
      <c r="A3" s="14" t="s">
        <v>296</v>
      </c>
      <c r="B3" s="15" t="s">
        <v>264</v>
      </c>
      <c r="C3" s="17" t="s">
        <v>266</v>
      </c>
      <c r="D3" s="17" t="s">
        <v>266</v>
      </c>
      <c r="E3" s="148" t="s">
        <v>168</v>
      </c>
      <c r="F3" s="148" t="s">
        <v>309</v>
      </c>
      <c r="G3" s="148" t="s">
        <v>310</v>
      </c>
      <c r="H3" s="148" t="s">
        <v>164</v>
      </c>
      <c r="I3" s="148" t="s">
        <v>165</v>
      </c>
      <c r="J3" s="148" t="s">
        <v>234</v>
      </c>
      <c r="K3" s="148" t="s">
        <v>61</v>
      </c>
      <c r="L3" s="148" t="s">
        <v>292</v>
      </c>
      <c r="M3" s="148">
        <v>4000</v>
      </c>
      <c r="N3" s="148" t="s">
        <v>61</v>
      </c>
      <c r="O3" s="148" t="s">
        <v>169</v>
      </c>
      <c r="P3" s="148" t="s">
        <v>244</v>
      </c>
      <c r="AI3" s="148" t="s">
        <v>166</v>
      </c>
      <c r="AJ3" s="148" t="s">
        <v>167</v>
      </c>
      <c r="AM3" s="148" t="s">
        <v>238</v>
      </c>
      <c r="AN3" s="148">
        <v>2000</v>
      </c>
      <c r="AO3" s="148" t="s">
        <v>61</v>
      </c>
      <c r="AP3" s="148" t="s">
        <v>169</v>
      </c>
      <c r="AQ3" s="148" t="s">
        <v>248</v>
      </c>
    </row>
    <row r="4" spans="1:43" ht="45" x14ac:dyDescent="0.25">
      <c r="A4" s="14" t="s">
        <v>297</v>
      </c>
      <c r="B4" s="15" t="s">
        <v>264</v>
      </c>
      <c r="C4" s="17" t="s">
        <v>267</v>
      </c>
      <c r="D4" s="17" t="s">
        <v>267</v>
      </c>
      <c r="E4" s="148" t="s">
        <v>168</v>
      </c>
      <c r="F4" s="148" t="s">
        <v>309</v>
      </c>
      <c r="G4" s="148" t="s">
        <v>310</v>
      </c>
      <c r="H4" s="148" t="s">
        <v>164</v>
      </c>
      <c r="I4" s="148" t="s">
        <v>165</v>
      </c>
      <c r="J4" s="148" t="s">
        <v>234</v>
      </c>
      <c r="K4" s="148" t="s">
        <v>61</v>
      </c>
      <c r="L4" s="148" t="s">
        <v>290</v>
      </c>
      <c r="M4" s="148">
        <v>4000</v>
      </c>
      <c r="N4" s="148" t="s">
        <v>61</v>
      </c>
      <c r="O4" s="148" t="s">
        <v>169</v>
      </c>
      <c r="P4" s="148" t="s">
        <v>247</v>
      </c>
      <c r="AI4" s="148" t="s">
        <v>166</v>
      </c>
      <c r="AJ4" s="148" t="s">
        <v>167</v>
      </c>
      <c r="AM4" s="148" t="s">
        <v>242</v>
      </c>
      <c r="AN4" s="148">
        <v>2000</v>
      </c>
      <c r="AO4" s="148" t="s">
        <v>61</v>
      </c>
      <c r="AP4" s="148" t="s">
        <v>169</v>
      </c>
      <c r="AQ4" s="148" t="s">
        <v>249</v>
      </c>
    </row>
    <row r="5" spans="1:43" ht="45" x14ac:dyDescent="0.25">
      <c r="A5" s="14" t="s">
        <v>298</v>
      </c>
      <c r="B5" s="15" t="s">
        <v>264</v>
      </c>
      <c r="C5" s="17" t="s">
        <v>268</v>
      </c>
      <c r="D5" s="17" t="s">
        <v>268</v>
      </c>
      <c r="E5" s="148" t="s">
        <v>168</v>
      </c>
      <c r="F5" s="148" t="s">
        <v>309</v>
      </c>
      <c r="G5" s="148" t="s">
        <v>310</v>
      </c>
      <c r="AI5" s="148" t="s">
        <v>166</v>
      </c>
      <c r="AJ5" s="148" t="s">
        <v>167</v>
      </c>
      <c r="AM5" s="148" t="s">
        <v>236</v>
      </c>
      <c r="AN5" s="148">
        <v>2000</v>
      </c>
      <c r="AO5" s="148" t="s">
        <v>61</v>
      </c>
      <c r="AP5" s="148" t="s">
        <v>169</v>
      </c>
      <c r="AQ5" s="148" t="s">
        <v>250</v>
      </c>
    </row>
    <row r="6" spans="1:43" ht="45" x14ac:dyDescent="0.25">
      <c r="A6" s="14" t="s">
        <v>299</v>
      </c>
      <c r="B6" s="15" t="s">
        <v>264</v>
      </c>
      <c r="C6" s="17" t="s">
        <v>269</v>
      </c>
      <c r="D6" s="17" t="s">
        <v>269</v>
      </c>
      <c r="E6" s="148" t="s">
        <v>168</v>
      </c>
      <c r="F6" s="148" t="s">
        <v>309</v>
      </c>
      <c r="G6" s="148" t="s">
        <v>310</v>
      </c>
      <c r="Z6" s="148" t="s">
        <v>166</v>
      </c>
      <c r="AA6" s="148" t="s">
        <v>167</v>
      </c>
      <c r="AD6" s="148" t="s">
        <v>241</v>
      </c>
      <c r="AE6" s="148">
        <v>2000</v>
      </c>
      <c r="AF6" s="148" t="s">
        <v>61</v>
      </c>
      <c r="AG6" s="148" t="s">
        <v>169</v>
      </c>
      <c r="AH6" s="148" t="s">
        <v>251</v>
      </c>
    </row>
    <row r="7" spans="1:43" ht="45" x14ac:dyDescent="0.25">
      <c r="A7" s="14" t="s">
        <v>300</v>
      </c>
      <c r="B7" s="15" t="s">
        <v>264</v>
      </c>
      <c r="C7" s="17" t="s">
        <v>270</v>
      </c>
      <c r="D7" s="17" t="s">
        <v>270</v>
      </c>
      <c r="E7" s="148" t="s">
        <v>168</v>
      </c>
      <c r="F7" s="148" t="s">
        <v>309</v>
      </c>
      <c r="G7" s="148" t="s">
        <v>310</v>
      </c>
      <c r="AI7" s="148" t="s">
        <v>166</v>
      </c>
      <c r="AJ7" s="148" t="s">
        <v>167</v>
      </c>
      <c r="AM7" s="148" t="s">
        <v>237</v>
      </c>
      <c r="AN7" s="148">
        <v>2000</v>
      </c>
      <c r="AO7" s="148" t="s">
        <v>61</v>
      </c>
      <c r="AP7" s="148" t="s">
        <v>169</v>
      </c>
      <c r="AQ7" s="148" t="s">
        <v>253</v>
      </c>
    </row>
    <row r="8" spans="1:43" ht="45" x14ac:dyDescent="0.25">
      <c r="A8" s="14" t="s">
        <v>301</v>
      </c>
      <c r="B8" s="15" t="s">
        <v>264</v>
      </c>
      <c r="C8" s="17" t="s">
        <v>271</v>
      </c>
      <c r="D8" s="17" t="s">
        <v>271</v>
      </c>
      <c r="E8" s="148" t="s">
        <v>168</v>
      </c>
      <c r="F8" s="148" t="s">
        <v>309</v>
      </c>
      <c r="G8" s="148" t="s">
        <v>310</v>
      </c>
      <c r="H8" s="148" t="s">
        <v>164</v>
      </c>
      <c r="I8" s="148" t="s">
        <v>165</v>
      </c>
      <c r="J8" s="148" t="s">
        <v>234</v>
      </c>
      <c r="K8" s="148" t="s">
        <v>61</v>
      </c>
      <c r="L8" s="148" t="s">
        <v>293</v>
      </c>
      <c r="M8" s="148">
        <v>4000</v>
      </c>
      <c r="N8" s="148" t="s">
        <v>61</v>
      </c>
      <c r="O8" s="148" t="s">
        <v>169</v>
      </c>
      <c r="P8" s="148" t="s">
        <v>252</v>
      </c>
      <c r="AI8" s="148" t="s">
        <v>166</v>
      </c>
      <c r="AJ8" s="148" t="s">
        <v>167</v>
      </c>
      <c r="AM8" s="148" t="s">
        <v>243</v>
      </c>
      <c r="AN8" s="148">
        <v>2000</v>
      </c>
      <c r="AO8" s="148" t="s">
        <v>61</v>
      </c>
      <c r="AP8" s="148" t="s">
        <v>169</v>
      </c>
      <c r="AQ8" s="148" t="s">
        <v>256</v>
      </c>
    </row>
    <row r="9" spans="1:43" ht="45" x14ac:dyDescent="0.25">
      <c r="A9" s="14" t="s">
        <v>302</v>
      </c>
      <c r="B9" s="15" t="s">
        <v>264</v>
      </c>
      <c r="C9" s="17" t="s">
        <v>272</v>
      </c>
      <c r="D9" s="17" t="s">
        <v>272</v>
      </c>
      <c r="E9" s="148" t="s">
        <v>168</v>
      </c>
      <c r="F9" s="148" t="s">
        <v>309</v>
      </c>
      <c r="G9" s="148" t="s">
        <v>310</v>
      </c>
      <c r="H9" s="148" t="s">
        <v>164</v>
      </c>
      <c r="I9" s="148" t="s">
        <v>165</v>
      </c>
      <c r="J9" s="148" t="s">
        <v>234</v>
      </c>
      <c r="K9" s="148" t="s">
        <v>61</v>
      </c>
      <c r="L9" s="148" t="s">
        <v>285</v>
      </c>
      <c r="M9" s="148">
        <v>2000</v>
      </c>
      <c r="N9" s="148" t="s">
        <v>61</v>
      </c>
      <c r="O9" s="148" t="s">
        <v>169</v>
      </c>
      <c r="P9" s="148" t="s">
        <v>254</v>
      </c>
    </row>
    <row r="10" spans="1:43" ht="45" x14ac:dyDescent="0.25">
      <c r="A10" s="14" t="s">
        <v>303</v>
      </c>
      <c r="B10" s="15" t="s">
        <v>264</v>
      </c>
      <c r="C10" s="17" t="s">
        <v>273</v>
      </c>
      <c r="D10" s="17" t="s">
        <v>273</v>
      </c>
      <c r="E10" s="148" t="s">
        <v>168</v>
      </c>
      <c r="F10" s="148" t="s">
        <v>309</v>
      </c>
      <c r="G10" s="148" t="s">
        <v>310</v>
      </c>
      <c r="H10" s="148" t="s">
        <v>164</v>
      </c>
      <c r="I10" s="148" t="s">
        <v>165</v>
      </c>
      <c r="J10" s="148" t="s">
        <v>234</v>
      </c>
      <c r="K10" s="148" t="s">
        <v>61</v>
      </c>
      <c r="L10" s="148" t="s">
        <v>286</v>
      </c>
      <c r="M10" s="148">
        <v>2000</v>
      </c>
      <c r="N10" s="148" t="s">
        <v>61</v>
      </c>
      <c r="O10" s="148" t="s">
        <v>169</v>
      </c>
      <c r="P10" s="148" t="s">
        <v>255</v>
      </c>
    </row>
    <row r="11" spans="1:43" ht="45" x14ac:dyDescent="0.25">
      <c r="A11" s="14" t="s">
        <v>304</v>
      </c>
      <c r="B11" s="15" t="s">
        <v>264</v>
      </c>
      <c r="C11" s="17" t="s">
        <v>274</v>
      </c>
      <c r="D11" s="17" t="s">
        <v>274</v>
      </c>
      <c r="E11" s="148" t="s">
        <v>168</v>
      </c>
      <c r="F11" s="148" t="s">
        <v>309</v>
      </c>
      <c r="G11" s="148" t="s">
        <v>310</v>
      </c>
      <c r="H11" s="148" t="s">
        <v>164</v>
      </c>
      <c r="I11" s="148" t="s">
        <v>165</v>
      </c>
      <c r="J11" s="148" t="s">
        <v>234</v>
      </c>
      <c r="K11" s="148" t="s">
        <v>61</v>
      </c>
      <c r="L11" s="148" t="s">
        <v>288</v>
      </c>
      <c r="M11" s="148">
        <v>2000</v>
      </c>
      <c r="N11" s="148" t="s">
        <v>61</v>
      </c>
      <c r="O11" s="148" t="s">
        <v>169</v>
      </c>
      <c r="P11" s="148" t="s">
        <v>257</v>
      </c>
    </row>
    <row r="12" spans="1:43" ht="45" x14ac:dyDescent="0.25">
      <c r="A12" s="14" t="s">
        <v>305</v>
      </c>
      <c r="B12" s="15" t="s">
        <v>264</v>
      </c>
      <c r="C12" s="17" t="s">
        <v>275</v>
      </c>
      <c r="D12" s="17" t="s">
        <v>275</v>
      </c>
      <c r="E12" s="148" t="s">
        <v>168</v>
      </c>
      <c r="F12" s="148" t="s">
        <v>309</v>
      </c>
      <c r="G12" s="148" t="s">
        <v>310</v>
      </c>
      <c r="H12" s="148" t="s">
        <v>164</v>
      </c>
      <c r="I12" s="148" t="s">
        <v>165</v>
      </c>
      <c r="J12" s="148" t="s">
        <v>234</v>
      </c>
      <c r="K12" s="148" t="s">
        <v>61</v>
      </c>
      <c r="L12" s="148" t="s">
        <v>294</v>
      </c>
      <c r="M12" s="148">
        <v>4000</v>
      </c>
      <c r="N12" s="148" t="s">
        <v>61</v>
      </c>
      <c r="O12" s="148" t="s">
        <v>169</v>
      </c>
      <c r="P12" s="148" t="s">
        <v>258</v>
      </c>
    </row>
    <row r="13" spans="1:43" ht="45" x14ac:dyDescent="0.25">
      <c r="A13" s="14" t="s">
        <v>306</v>
      </c>
      <c r="B13" s="15" t="s">
        <v>264</v>
      </c>
      <c r="C13" s="17" t="s">
        <v>276</v>
      </c>
      <c r="D13" s="17" t="s">
        <v>276</v>
      </c>
      <c r="E13" s="148" t="s">
        <v>168</v>
      </c>
      <c r="F13" s="148" t="s">
        <v>309</v>
      </c>
      <c r="G13" s="148" t="s">
        <v>310</v>
      </c>
      <c r="H13" s="148" t="s">
        <v>164</v>
      </c>
      <c r="I13" s="148" t="s">
        <v>165</v>
      </c>
      <c r="J13" s="148" t="s">
        <v>234</v>
      </c>
      <c r="K13" s="148" t="s">
        <v>61</v>
      </c>
      <c r="L13" s="148" t="s">
        <v>291</v>
      </c>
      <c r="M13" s="148">
        <v>4000</v>
      </c>
      <c r="N13" s="148" t="s">
        <v>61</v>
      </c>
      <c r="O13" s="148" t="s">
        <v>169</v>
      </c>
      <c r="P13" s="148" t="s">
        <v>259</v>
      </c>
    </row>
    <row r="14" spans="1:43" ht="45" x14ac:dyDescent="0.25">
      <c r="A14" s="14" t="s">
        <v>307</v>
      </c>
      <c r="B14" s="15" t="s">
        <v>264</v>
      </c>
      <c r="C14" s="17" t="s">
        <v>277</v>
      </c>
      <c r="D14" s="17" t="s">
        <v>277</v>
      </c>
      <c r="E14" s="148" t="s">
        <v>168</v>
      </c>
      <c r="F14" s="148" t="s">
        <v>309</v>
      </c>
      <c r="G14" s="148" t="s">
        <v>310</v>
      </c>
      <c r="H14" s="148" t="s">
        <v>164</v>
      </c>
      <c r="I14" s="148" t="s">
        <v>165</v>
      </c>
      <c r="J14" s="148" t="s">
        <v>234</v>
      </c>
      <c r="K14" s="148" t="s">
        <v>61</v>
      </c>
      <c r="L14" s="148" t="s">
        <v>289</v>
      </c>
      <c r="M14" s="148">
        <v>2000</v>
      </c>
      <c r="N14" s="148" t="s">
        <v>61</v>
      </c>
      <c r="O14" s="148" t="s">
        <v>169</v>
      </c>
      <c r="P14" s="148" t="s">
        <v>260</v>
      </c>
    </row>
    <row r="15" spans="1:43" ht="45" x14ac:dyDescent="0.25">
      <c r="A15" s="14" t="s">
        <v>308</v>
      </c>
      <c r="B15" s="15" t="s">
        <v>264</v>
      </c>
      <c r="C15" s="17" t="s">
        <v>278</v>
      </c>
      <c r="D15" s="17" t="s">
        <v>278</v>
      </c>
      <c r="E15" s="148" t="s">
        <v>168</v>
      </c>
      <c r="F15" s="148" t="s">
        <v>309</v>
      </c>
      <c r="G15" s="148" t="s">
        <v>310</v>
      </c>
      <c r="H15" s="148" t="s">
        <v>164</v>
      </c>
      <c r="I15" s="148" t="s">
        <v>165</v>
      </c>
      <c r="J15" s="148" t="s">
        <v>234</v>
      </c>
      <c r="K15" s="148" t="s">
        <v>61</v>
      </c>
      <c r="L15" s="148" t="s">
        <v>287</v>
      </c>
      <c r="M15" s="148">
        <v>2000</v>
      </c>
      <c r="N15" s="148" t="s">
        <v>61</v>
      </c>
      <c r="O15" s="148" t="s">
        <v>169</v>
      </c>
      <c r="P15" s="148" t="s">
        <v>261</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11"/>
  <sheetViews>
    <sheetView workbookViewId="0">
      <selection activeCell="E14" sqref="E14"/>
    </sheetView>
  </sheetViews>
  <sheetFormatPr defaultRowHeight="15" x14ac:dyDescent="0.25"/>
  <cols>
    <col min="1" max="1" width="14.5703125" style="148" customWidth="1"/>
    <col min="2" max="2" width="6.85546875" style="148" customWidth="1"/>
    <col min="3" max="3" width="9.85546875" style="148" customWidth="1"/>
    <col min="4" max="4" width="12" style="148" customWidth="1"/>
    <col min="5" max="5" width="12.85546875" style="148" customWidth="1"/>
    <col min="6" max="6" width="17" style="148" customWidth="1"/>
    <col min="7" max="8" width="9.140625" style="148"/>
    <col min="9" max="9" width="16" style="148" customWidth="1"/>
    <col min="10" max="10" width="16.28515625" style="148" customWidth="1"/>
    <col min="11" max="11" width="22.28515625" style="148" customWidth="1"/>
    <col min="12" max="16384" width="9.140625" style="148"/>
  </cols>
  <sheetData>
    <row r="1" spans="1:11" x14ac:dyDescent="0.25">
      <c r="A1" s="154" t="s">
        <v>37</v>
      </c>
      <c r="B1" s="154" t="s">
        <v>15</v>
      </c>
      <c r="C1" s="154" t="s">
        <v>38</v>
      </c>
      <c r="D1" s="154" t="s">
        <v>14</v>
      </c>
      <c r="E1" s="154" t="s">
        <v>16</v>
      </c>
      <c r="F1" s="154" t="s">
        <v>10</v>
      </c>
      <c r="G1" s="154" t="s">
        <v>11</v>
      </c>
      <c r="H1" s="154" t="s">
        <v>12</v>
      </c>
      <c r="I1" s="154" t="s">
        <v>118</v>
      </c>
      <c r="J1" s="154" t="s">
        <v>50</v>
      </c>
      <c r="K1" s="154" t="s">
        <v>230</v>
      </c>
    </row>
    <row r="2" spans="1:11" x14ac:dyDescent="0.25">
      <c r="A2" s="148" t="s">
        <v>292</v>
      </c>
      <c r="B2" s="148" t="s">
        <v>162</v>
      </c>
      <c r="C2" s="148" t="s">
        <v>61</v>
      </c>
      <c r="D2" s="148">
        <v>4000</v>
      </c>
      <c r="E2" s="148" t="s">
        <v>163</v>
      </c>
      <c r="F2" s="148" t="s">
        <v>263</v>
      </c>
      <c r="G2" s="148" t="s">
        <v>111</v>
      </c>
      <c r="H2" s="148" t="s">
        <v>115</v>
      </c>
      <c r="I2" s="148" t="s">
        <v>234</v>
      </c>
      <c r="J2" s="148" t="s">
        <v>61</v>
      </c>
      <c r="K2" s="148">
        <v>18000</v>
      </c>
    </row>
    <row r="3" spans="1:11" x14ac:dyDescent="0.25">
      <c r="A3" s="148" t="s">
        <v>290</v>
      </c>
      <c r="B3" s="148" t="s">
        <v>162</v>
      </c>
      <c r="C3" s="148" t="s">
        <v>61</v>
      </c>
      <c r="D3" s="148">
        <v>4000</v>
      </c>
      <c r="E3" s="148" t="s">
        <v>163</v>
      </c>
      <c r="F3" s="148" t="s">
        <v>263</v>
      </c>
      <c r="G3" s="148" t="s">
        <v>111</v>
      </c>
      <c r="H3" s="148" t="s">
        <v>115</v>
      </c>
      <c r="I3" s="148" t="s">
        <v>234</v>
      </c>
      <c r="J3" s="148" t="s">
        <v>61</v>
      </c>
      <c r="K3" s="148">
        <v>18000</v>
      </c>
    </row>
    <row r="4" spans="1:11" x14ac:dyDescent="0.25">
      <c r="A4" s="148" t="s">
        <v>293</v>
      </c>
      <c r="B4" s="148" t="s">
        <v>162</v>
      </c>
      <c r="C4" s="148" t="s">
        <v>61</v>
      </c>
      <c r="D4" s="148">
        <v>4000</v>
      </c>
      <c r="E4" s="148" t="s">
        <v>163</v>
      </c>
      <c r="F4" s="148" t="s">
        <v>263</v>
      </c>
      <c r="G4" s="148" t="s">
        <v>111</v>
      </c>
      <c r="H4" s="148" t="s">
        <v>115</v>
      </c>
      <c r="I4" s="148" t="s">
        <v>234</v>
      </c>
      <c r="J4" s="148" t="s">
        <v>61</v>
      </c>
      <c r="K4" s="148">
        <v>18000</v>
      </c>
    </row>
    <row r="5" spans="1:11" x14ac:dyDescent="0.25">
      <c r="A5" s="148" t="s">
        <v>285</v>
      </c>
      <c r="B5" s="148" t="s">
        <v>162</v>
      </c>
      <c r="C5" s="148" t="s">
        <v>61</v>
      </c>
      <c r="D5" s="148">
        <v>2000</v>
      </c>
      <c r="E5" s="148" t="s">
        <v>163</v>
      </c>
      <c r="F5" s="148" t="s">
        <v>263</v>
      </c>
      <c r="G5" s="148" t="s">
        <v>111</v>
      </c>
      <c r="H5" s="148" t="s">
        <v>115</v>
      </c>
      <c r="I5" s="148" t="s">
        <v>234</v>
      </c>
      <c r="J5" s="148" t="s">
        <v>61</v>
      </c>
      <c r="K5" s="148">
        <v>17000</v>
      </c>
    </row>
    <row r="6" spans="1:11" x14ac:dyDescent="0.25">
      <c r="A6" s="148" t="s">
        <v>286</v>
      </c>
      <c r="B6" s="148" t="s">
        <v>162</v>
      </c>
      <c r="C6" s="148" t="s">
        <v>61</v>
      </c>
      <c r="D6" s="148">
        <v>2000</v>
      </c>
      <c r="E6" s="148" t="s">
        <v>163</v>
      </c>
      <c r="F6" s="148" t="s">
        <v>263</v>
      </c>
      <c r="G6" s="148" t="s">
        <v>111</v>
      </c>
      <c r="H6" s="148" t="s">
        <v>115</v>
      </c>
      <c r="I6" s="148" t="s">
        <v>234</v>
      </c>
      <c r="J6" s="148" t="s">
        <v>61</v>
      </c>
      <c r="K6" s="148">
        <v>17000</v>
      </c>
    </row>
    <row r="7" spans="1:11" x14ac:dyDescent="0.25">
      <c r="A7" s="148" t="s">
        <v>288</v>
      </c>
      <c r="B7" s="148" t="s">
        <v>162</v>
      </c>
      <c r="C7" s="148" t="s">
        <v>61</v>
      </c>
      <c r="D7" s="148">
        <v>2000</v>
      </c>
      <c r="E7" s="148" t="s">
        <v>163</v>
      </c>
      <c r="F7" s="148" t="s">
        <v>263</v>
      </c>
      <c r="G7" s="148" t="s">
        <v>111</v>
      </c>
      <c r="H7" s="148" t="s">
        <v>115</v>
      </c>
      <c r="I7" s="148" t="s">
        <v>234</v>
      </c>
      <c r="J7" s="148" t="s">
        <v>61</v>
      </c>
      <c r="K7" s="148">
        <v>17000</v>
      </c>
    </row>
    <row r="8" spans="1:11" x14ac:dyDescent="0.25">
      <c r="A8" s="148" t="s">
        <v>294</v>
      </c>
      <c r="B8" s="148" t="s">
        <v>162</v>
      </c>
      <c r="C8" s="148" t="s">
        <v>61</v>
      </c>
      <c r="D8" s="148">
        <v>4000</v>
      </c>
      <c r="E8" s="148" t="s">
        <v>163</v>
      </c>
      <c r="F8" s="148" t="s">
        <v>263</v>
      </c>
      <c r="G8" s="148" t="s">
        <v>111</v>
      </c>
      <c r="H8" s="148" t="s">
        <v>115</v>
      </c>
      <c r="I8" s="148" t="s">
        <v>234</v>
      </c>
      <c r="J8" s="148" t="s">
        <v>61</v>
      </c>
      <c r="K8" s="148">
        <v>18000</v>
      </c>
    </row>
    <row r="9" spans="1:11" x14ac:dyDescent="0.25">
      <c r="A9" s="148" t="s">
        <v>291</v>
      </c>
      <c r="B9" s="148" t="s">
        <v>162</v>
      </c>
      <c r="C9" s="148" t="s">
        <v>61</v>
      </c>
      <c r="D9" s="148">
        <v>4000</v>
      </c>
      <c r="E9" s="148" t="s">
        <v>163</v>
      </c>
      <c r="F9" s="148" t="s">
        <v>263</v>
      </c>
      <c r="G9" s="148" t="s">
        <v>111</v>
      </c>
      <c r="H9" s="148" t="s">
        <v>115</v>
      </c>
      <c r="I9" s="148" t="s">
        <v>234</v>
      </c>
      <c r="J9" s="148" t="s">
        <v>61</v>
      </c>
      <c r="K9" s="148">
        <v>18000</v>
      </c>
    </row>
    <row r="10" spans="1:11" x14ac:dyDescent="0.25">
      <c r="A10" s="148" t="s">
        <v>289</v>
      </c>
      <c r="B10" s="148" t="s">
        <v>162</v>
      </c>
      <c r="C10" s="148" t="s">
        <v>61</v>
      </c>
      <c r="D10" s="148">
        <v>2000</v>
      </c>
      <c r="E10" s="148" t="s">
        <v>163</v>
      </c>
      <c r="F10" s="148" t="s">
        <v>263</v>
      </c>
      <c r="G10" s="148" t="s">
        <v>111</v>
      </c>
      <c r="H10" s="148" t="s">
        <v>115</v>
      </c>
      <c r="I10" s="148" t="s">
        <v>234</v>
      </c>
      <c r="J10" s="148" t="s">
        <v>61</v>
      </c>
      <c r="K10" s="148">
        <v>17000</v>
      </c>
    </row>
    <row r="11" spans="1:11" x14ac:dyDescent="0.25">
      <c r="A11" s="148" t="s">
        <v>287</v>
      </c>
      <c r="B11" s="148" t="s">
        <v>162</v>
      </c>
      <c r="C11" s="148" t="s">
        <v>61</v>
      </c>
      <c r="D11" s="148">
        <v>2000</v>
      </c>
      <c r="E11" s="148" t="s">
        <v>163</v>
      </c>
      <c r="F11" s="148" t="s">
        <v>263</v>
      </c>
      <c r="G11" s="148" t="s">
        <v>111</v>
      </c>
      <c r="H11" s="148" t="s">
        <v>115</v>
      </c>
      <c r="I11" s="148" t="s">
        <v>234</v>
      </c>
      <c r="J11" s="148" t="s">
        <v>61</v>
      </c>
      <c r="K11" s="148">
        <v>17000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H9"/>
  <sheetViews>
    <sheetView workbookViewId="0">
      <selection activeCell="A2" sqref="A2:XFD12"/>
    </sheetView>
  </sheetViews>
  <sheetFormatPr defaultRowHeight="15" x14ac:dyDescent="0.25"/>
  <cols>
    <col min="1" max="1" width="19" style="25" customWidth="1"/>
    <col min="2" max="7" width="9.140625" style="25"/>
    <col min="8" max="8" width="22.42578125" style="25" customWidth="1"/>
    <col min="9" max="16384" width="9.140625" style="25"/>
  </cols>
  <sheetData>
    <row r="1" spans="1:8" ht="26.25" x14ac:dyDescent="0.25">
      <c r="A1" s="22" t="s">
        <v>37</v>
      </c>
      <c r="B1" s="23" t="s">
        <v>15</v>
      </c>
      <c r="C1" s="24" t="s">
        <v>38</v>
      </c>
      <c r="D1" s="23" t="s">
        <v>14</v>
      </c>
      <c r="E1" s="23" t="s">
        <v>16</v>
      </c>
      <c r="F1" s="23" t="s">
        <v>39</v>
      </c>
      <c r="G1" s="23" t="s">
        <v>40</v>
      </c>
      <c r="H1" s="23" t="s">
        <v>50</v>
      </c>
    </row>
    <row r="2" spans="1:8" x14ac:dyDescent="0.25">
      <c r="A2" s="25" t="s">
        <v>240</v>
      </c>
      <c r="B2" s="25" t="s">
        <v>224</v>
      </c>
      <c r="C2" s="25" t="s">
        <v>61</v>
      </c>
      <c r="D2" s="25" t="s">
        <v>225</v>
      </c>
      <c r="E2" s="25" t="s">
        <v>226</v>
      </c>
      <c r="F2" s="25" t="s">
        <v>227</v>
      </c>
    </row>
    <row r="3" spans="1:8" x14ac:dyDescent="0.25">
      <c r="A3" s="25" t="s">
        <v>239</v>
      </c>
      <c r="B3" s="25" t="s">
        <v>224</v>
      </c>
      <c r="C3" s="25" t="s">
        <v>61</v>
      </c>
      <c r="D3" s="25" t="s">
        <v>225</v>
      </c>
      <c r="E3" s="25" t="s">
        <v>226</v>
      </c>
      <c r="F3" s="25" t="s">
        <v>227</v>
      </c>
    </row>
    <row r="4" spans="1:8" x14ac:dyDescent="0.25">
      <c r="A4" s="25" t="s">
        <v>238</v>
      </c>
      <c r="B4" s="25" t="s">
        <v>224</v>
      </c>
      <c r="C4" s="25" t="s">
        <v>61</v>
      </c>
      <c r="D4" s="25" t="s">
        <v>225</v>
      </c>
      <c r="E4" s="25" t="s">
        <v>226</v>
      </c>
      <c r="F4" s="25" t="s">
        <v>227</v>
      </c>
    </row>
    <row r="5" spans="1:8" x14ac:dyDescent="0.25">
      <c r="A5" s="25" t="s">
        <v>242</v>
      </c>
      <c r="B5" s="25" t="s">
        <v>224</v>
      </c>
      <c r="C5" s="25" t="s">
        <v>61</v>
      </c>
      <c r="D5" s="25" t="s">
        <v>225</v>
      </c>
      <c r="E5" s="25" t="s">
        <v>226</v>
      </c>
      <c r="F5" s="25" t="s">
        <v>227</v>
      </c>
    </row>
    <row r="6" spans="1:8" x14ac:dyDescent="0.25">
      <c r="A6" s="25" t="s">
        <v>236</v>
      </c>
      <c r="B6" s="25" t="s">
        <v>224</v>
      </c>
      <c r="C6" s="25" t="s">
        <v>61</v>
      </c>
      <c r="D6" s="25" t="s">
        <v>225</v>
      </c>
      <c r="E6" s="25" t="s">
        <v>226</v>
      </c>
      <c r="F6" s="25" t="s">
        <v>227</v>
      </c>
    </row>
    <row r="7" spans="1:8" x14ac:dyDescent="0.25">
      <c r="A7" s="25" t="s">
        <v>241</v>
      </c>
      <c r="B7" s="25" t="s">
        <v>224</v>
      </c>
      <c r="C7" s="25" t="s">
        <v>61</v>
      </c>
      <c r="D7" s="25" t="s">
        <v>225</v>
      </c>
      <c r="E7" s="25" t="s">
        <v>226</v>
      </c>
      <c r="F7" s="25" t="s">
        <v>227</v>
      </c>
    </row>
    <row r="8" spans="1:8" x14ac:dyDescent="0.25">
      <c r="A8" s="25" t="s">
        <v>237</v>
      </c>
      <c r="B8" s="25" t="s">
        <v>224</v>
      </c>
      <c r="C8" s="25" t="s">
        <v>61</v>
      </c>
      <c r="D8" s="25" t="s">
        <v>225</v>
      </c>
      <c r="E8" s="25" t="s">
        <v>226</v>
      </c>
      <c r="F8" s="25" t="s">
        <v>227</v>
      </c>
    </row>
    <row r="9" spans="1:8" x14ac:dyDescent="0.25">
      <c r="A9" s="25" t="s">
        <v>243</v>
      </c>
      <c r="B9" s="25" t="s">
        <v>224</v>
      </c>
      <c r="C9" s="25" t="s">
        <v>61</v>
      </c>
      <c r="D9" s="25" t="s">
        <v>225</v>
      </c>
      <c r="E9" s="25" t="s">
        <v>226</v>
      </c>
      <c r="F9" s="25" t="s">
        <v>227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2"/>
  <sheetViews>
    <sheetView zoomScale="85" zoomScaleNormal="85" workbookViewId="0">
      <selection activeCell="F1" sqref="F1"/>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81.140625" style="10" customWidth="1"/>
    <col min="7" max="7" width="54.28515625" style="10" customWidth="1"/>
    <col min="8" max="9" width="9.5703125" style="10" customWidth="1"/>
    <col min="10" max="12" width="18.85546875" style="10" customWidth="1"/>
    <col min="13" max="18" width="37.5703125" style="10" customWidth="1"/>
    <col min="19" max="19" width="56.140625" style="10" customWidth="1"/>
    <col min="20" max="20" width="39.140625" style="10" customWidth="1"/>
    <col min="21" max="21" width="21" style="10" customWidth="1"/>
    <col min="22" max="22" width="15.5703125" style="10" customWidth="1"/>
    <col min="23" max="23" width="67.85546875" style="10" customWidth="1"/>
    <col min="24" max="16384" width="9.140625" style="10"/>
  </cols>
  <sheetData>
    <row r="1" spans="1:24" s="9" customFormat="1" ht="37.5" x14ac:dyDescent="0.3">
      <c r="A1" s="5"/>
      <c r="B1" s="6" t="s">
        <v>46</v>
      </c>
      <c r="C1" s="6"/>
      <c r="D1" s="6" t="s">
        <v>47</v>
      </c>
      <c r="E1" s="5"/>
      <c r="F1" s="6" t="s">
        <v>233</v>
      </c>
      <c r="G1" s="6"/>
      <c r="H1" s="6"/>
      <c r="I1" s="6"/>
      <c r="J1" s="6"/>
      <c r="K1" s="6"/>
      <c r="L1" s="6"/>
      <c r="M1" s="6" t="s">
        <v>194</v>
      </c>
      <c r="N1" s="6"/>
      <c r="O1" s="6"/>
      <c r="P1" s="6"/>
      <c r="Q1" s="6"/>
      <c r="R1" s="6"/>
      <c r="S1" s="6" t="s">
        <v>194</v>
      </c>
      <c r="T1" s="6"/>
      <c r="U1" s="6"/>
      <c r="V1" s="6"/>
      <c r="W1" s="6" t="s">
        <v>194</v>
      </c>
      <c r="X1" s="8"/>
    </row>
    <row r="2" spans="1:24" ht="150" x14ac:dyDescent="0.25">
      <c r="A2" s="10" t="s">
        <v>45</v>
      </c>
      <c r="B2" s="10" t="s">
        <v>264</v>
      </c>
      <c r="C2" s="11" t="s">
        <v>48</v>
      </c>
      <c r="D2" s="10" t="s">
        <v>264</v>
      </c>
      <c r="E2" s="11" t="s">
        <v>49</v>
      </c>
      <c r="F2" s="10" t="str">
        <f>CONCATENATE(A2,B2,C2,D2,E2)</f>
        <v>INSERT INTO TMS_TID_TKCO (TK_CO_I, LST_UPDT_D, TK_CO_N, DELETED,  PARTNER_TX_D, LAST_UPDATE_USER_AN) VALUES ('ABDD', NOW_GMT(), 'ABDD', 'N', NOW_GMT(), 'SYSTEM');</v>
      </c>
      <c r="G2" s="10" t="s">
        <v>195</v>
      </c>
      <c r="H2" s="11" t="s">
        <v>197</v>
      </c>
      <c r="I2" s="11" t="s">
        <v>32</v>
      </c>
      <c r="J2" s="11" t="s">
        <v>196</v>
      </c>
      <c r="K2" s="10" t="s">
        <v>75</v>
      </c>
      <c r="L2" s="11" t="s">
        <v>198</v>
      </c>
      <c r="M2" s="10" t="str">
        <f>CONCATENATE(G2,B2,H2,I2,D2,J2,K2,L2)</f>
        <v>INSERT INTO CAT_ORGANIZATION( CODE, NAME,CONTACT_EMAIL,CONTACT_PHONE,CONTACT_NAME,SKEY,SITE_KEY,VERSION,CREATE_BY,CREATE_TIME) values ('ABDD','ABDD',null,null,null,NEXTVAL('ZARA_SEQUENCE'),(SELECT SKEY FROM CAT_SITE WHERE CODE = 'LQN'),0,'SYSTEM',NOW_GMT());</v>
      </c>
      <c r="N2" s="10" t="s">
        <v>199</v>
      </c>
      <c r="O2" s="11" t="s">
        <v>201</v>
      </c>
      <c r="P2" s="11" t="s">
        <v>228</v>
      </c>
      <c r="Q2" s="11" t="s">
        <v>200</v>
      </c>
      <c r="R2" s="11" t="s">
        <v>198</v>
      </c>
      <c r="S2" s="193" t="str">
        <f>CONCATENATE(N2,B2,H2,I2,D2,O2,B2,P2,K2,Q2,K2,R2)</f>
        <v>INSERT INTO CAT_BIZ_UNIT( CODE, NAME,EMAIL,TAX_ID_NBR,ADDRESS,PHONE,SKEY,BIZ_TYPE_CODE,ORG_KEY,SITE_KEY,VERSION,CREATE_BY,CREATE_TIME) values ('ABDD','ABDD',null,null,null,null,NEXTVAL('ZARA_SEQUENCE'),'TRUCKING_COMPANY',(SELECT SKEY FROM CAT_ORGANIZATION WHERE CODE = 'ABDD' AND SITE_KEY=(SELECT SKEY FROM CAT_SITE WHERE CODE = 'LQN')),(SELECT SKEY FROM CAT_SITE WHERE CODE = 'LQN'),0,'SYSTEM',NOW_GMT());</v>
      </c>
      <c r="T2" s="193" t="s">
        <v>203</v>
      </c>
      <c r="U2" s="194" t="s">
        <v>204</v>
      </c>
      <c r="V2" s="194" t="s">
        <v>202</v>
      </c>
      <c r="W2" s="193" t="str">
        <f>CONCATENATE(T2,B2,U2,K2,V2)</f>
        <v>INSERT INTO TOS_TRUCK_COMPANY(ADDRESS_l1,ADDRESS_l2,PHONE_NO,CONTACT_PERSON,SKEY,BIZ_UNIT_KEY) values (null,null,null,null,NEXTVAL('ZARA_SEQUENCE'),(SELECT SKEY FROM CAT_BIZ_UNIT WHERE  BIZ_TYPE_CODE = 'TRUCKING_COMPANY' AND  CODE = 'ABDD' AND SITE_KEY = (SELECT SKEY FROM CAT_SITE WHERE CODE = 'LQN')));</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N21"/>
  <sheetViews>
    <sheetView zoomScale="85" zoomScaleNormal="85" workbookViewId="0">
      <selection activeCell="F1" sqref="F1"/>
    </sheetView>
  </sheetViews>
  <sheetFormatPr defaultRowHeight="15" x14ac:dyDescent="0.25"/>
  <cols>
    <col min="1" max="1" width="59.140625" style="10" customWidth="1"/>
    <col min="2" max="2" width="23" style="10" customWidth="1"/>
    <col min="3" max="3" width="5.28515625" style="10" customWidth="1"/>
    <col min="4" max="4" width="23" style="10" customWidth="1"/>
    <col min="5" max="5" width="24.85546875" style="10" customWidth="1"/>
    <col min="6" max="6" width="68.28515625" style="10" customWidth="1"/>
    <col min="7" max="7" width="32.42578125" style="10" customWidth="1"/>
    <col min="8" max="8" width="33.85546875" style="10" customWidth="1"/>
    <col min="9" max="9" width="5.5703125" style="10" customWidth="1"/>
    <col min="10" max="10" width="25.7109375" style="10" customWidth="1"/>
    <col min="11" max="11" width="42.28515625" style="10" customWidth="1"/>
    <col min="12" max="12" width="66.5703125" style="10" customWidth="1"/>
    <col min="13" max="16384" width="9.140625" style="10"/>
  </cols>
  <sheetData>
    <row r="1" spans="1:14" s="9" customFormat="1" ht="18.75" x14ac:dyDescent="0.3">
      <c r="A1" s="5"/>
      <c r="B1" s="6" t="s">
        <v>20</v>
      </c>
      <c r="C1" s="6"/>
      <c r="D1" s="7" t="s">
        <v>21</v>
      </c>
      <c r="E1" s="5"/>
      <c r="F1" s="6" t="s">
        <v>233</v>
      </c>
      <c r="G1" s="6"/>
      <c r="H1" s="6"/>
      <c r="I1" s="6"/>
      <c r="J1" s="6"/>
      <c r="K1" s="6" t="s">
        <v>194</v>
      </c>
      <c r="L1" s="8"/>
      <c r="M1" s="8"/>
      <c r="N1" s="8"/>
    </row>
    <row r="2" spans="1:14" ht="119.25" customHeight="1" x14ac:dyDescent="0.25">
      <c r="A2" s="10" t="s">
        <v>27</v>
      </c>
      <c r="B2" s="10" t="s">
        <v>265</v>
      </c>
      <c r="C2" s="11" t="s">
        <v>28</v>
      </c>
      <c r="D2" s="10" t="s">
        <v>265</v>
      </c>
      <c r="E2" s="11" t="s">
        <v>29</v>
      </c>
      <c r="F2" s="10" t="str">
        <f>CONCATENATE(A2,B2,C2,D2,E2)</f>
        <v>INSERT INTO TMS_TID_TK (TK_I, LICENCE_PLATE_AN, SUSPEND_FROM_TM, SUSPEND_TO_TM, TRACTOR_STATUS_CODE, DELETED, PARTNER_TX_D, LAST_UPDATE_USER_AN,LST_UPDT_D) VALUES ('ABDD1','ABDD1', null, null, 'A','N',NOW_GMT(),'SYSTEM',NOW_GMT());</v>
      </c>
      <c r="G2" s="10" t="s">
        <v>205</v>
      </c>
      <c r="H2" s="11" t="s">
        <v>206</v>
      </c>
      <c r="I2" s="10" t="s">
        <v>75</v>
      </c>
      <c r="J2" s="11" t="s">
        <v>229</v>
      </c>
      <c r="K2" s="193" t="str">
        <f>CONCATENATE(G2,B2,C2,D2,H2,I2,J2)</f>
        <v>INSERT INTO TOS_TRACTOR(TRACTOR_ID,LICENSE_PLATE,SKEY,SITE_KEY,TRACTOR_STATUS_CODE,CREATE_BY,CREATE_TIME) values ('ABDD1','ABDD1',NEXTVAL('ZARA_SEQUENCE'),(SELECT SKEY FROM CAT_SITE WHERE CODE = 'LQN'),'A','SYSTEM',NOW_GMT());</v>
      </c>
      <c r="L2" s="193"/>
    </row>
    <row r="3" spans="1:14" ht="105" x14ac:dyDescent="0.25">
      <c r="A3" s="10" t="s">
        <v>27</v>
      </c>
      <c r="B3" s="10" t="s">
        <v>266</v>
      </c>
      <c r="C3" s="11" t="s">
        <v>28</v>
      </c>
      <c r="D3" s="10" t="s">
        <v>266</v>
      </c>
      <c r="E3" s="11" t="s">
        <v>29</v>
      </c>
      <c r="F3" s="10" t="str">
        <f t="shared" ref="F3:F21" si="0">CONCATENATE(A3,B3,C3,D3,E3)</f>
        <v>INSERT INTO TMS_TID_TK (TK_I, LICENCE_PLATE_AN, SUSPEND_FROM_TM, SUSPEND_TO_TM, TRACTOR_STATUS_CODE, DELETED, PARTNER_TX_D, LAST_UPDATE_USER_AN,LST_UPDT_D) VALUES ('ABDD2','ABDD2', null, null, 'A','N',NOW_GMT(),'SYSTEM',NOW_GMT());</v>
      </c>
      <c r="G3" s="10" t="s">
        <v>205</v>
      </c>
      <c r="H3" s="11" t="s">
        <v>206</v>
      </c>
      <c r="I3" s="10" t="s">
        <v>75</v>
      </c>
      <c r="J3" s="11" t="s">
        <v>229</v>
      </c>
      <c r="K3" s="193" t="str">
        <f t="shared" ref="K3:K21" si="1">CONCATENATE(G3,B3,C3,D3,H3,I3,J3)</f>
        <v>INSERT INTO TOS_TRACTOR(TRACTOR_ID,LICENSE_PLATE,SKEY,SITE_KEY,TRACTOR_STATUS_CODE,CREATE_BY,CREATE_TIME) values ('ABDD2','ABDD2',NEXTVAL('ZARA_SEQUENCE'),(SELECT SKEY FROM CAT_SITE WHERE CODE = 'LQN'),'A','SYSTEM',NOW_GMT());</v>
      </c>
    </row>
    <row r="4" spans="1:14" ht="105" x14ac:dyDescent="0.25">
      <c r="A4" s="10" t="s">
        <v>27</v>
      </c>
      <c r="B4" s="10" t="s">
        <v>267</v>
      </c>
      <c r="C4" s="11" t="s">
        <v>28</v>
      </c>
      <c r="D4" s="10" t="s">
        <v>267</v>
      </c>
      <c r="E4" s="11" t="s">
        <v>29</v>
      </c>
      <c r="F4" s="10" t="str">
        <f t="shared" si="0"/>
        <v>INSERT INTO TMS_TID_TK (TK_I, LICENCE_PLATE_AN, SUSPEND_FROM_TM, SUSPEND_TO_TM, TRACTOR_STATUS_CODE, DELETED, PARTNER_TX_D, LAST_UPDATE_USER_AN,LST_UPDT_D) VALUES ('ABDD3','ABDD3', null, null, 'A','N',NOW_GMT(),'SYSTEM',NOW_GMT());</v>
      </c>
      <c r="G4" s="10" t="s">
        <v>205</v>
      </c>
      <c r="H4" s="11" t="s">
        <v>206</v>
      </c>
      <c r="I4" s="10" t="s">
        <v>75</v>
      </c>
      <c r="J4" s="11" t="s">
        <v>229</v>
      </c>
      <c r="K4" s="193" t="str">
        <f t="shared" si="1"/>
        <v>INSERT INTO TOS_TRACTOR(TRACTOR_ID,LICENSE_PLATE,SKEY,SITE_KEY,TRACTOR_STATUS_CODE,CREATE_BY,CREATE_TIME) values ('ABDD3','ABDD3',NEXTVAL('ZARA_SEQUENCE'),(SELECT SKEY FROM CAT_SITE WHERE CODE = 'LQN'),'A','SYSTEM',NOW_GMT());</v>
      </c>
    </row>
    <row r="5" spans="1:14" ht="105" x14ac:dyDescent="0.25">
      <c r="A5" s="10" t="s">
        <v>27</v>
      </c>
      <c r="B5" s="10" t="s">
        <v>268</v>
      </c>
      <c r="C5" s="11" t="s">
        <v>28</v>
      </c>
      <c r="D5" s="10" t="s">
        <v>268</v>
      </c>
      <c r="E5" s="11" t="s">
        <v>29</v>
      </c>
      <c r="F5" s="10" t="str">
        <f t="shared" si="0"/>
        <v>INSERT INTO TMS_TID_TK (TK_I, LICENCE_PLATE_AN, SUSPEND_FROM_TM, SUSPEND_TO_TM, TRACTOR_STATUS_CODE, DELETED, PARTNER_TX_D, LAST_UPDATE_USER_AN,LST_UPDT_D) VALUES ('ABDD4','ABDD4', null, null, 'A','N',NOW_GMT(),'SYSTEM',NOW_GMT());</v>
      </c>
      <c r="G5" s="10" t="s">
        <v>205</v>
      </c>
      <c r="H5" s="11" t="s">
        <v>206</v>
      </c>
      <c r="I5" s="10" t="s">
        <v>75</v>
      </c>
      <c r="J5" s="11" t="s">
        <v>229</v>
      </c>
      <c r="K5" s="193" t="str">
        <f t="shared" si="1"/>
        <v>INSERT INTO TOS_TRACTOR(TRACTOR_ID,LICENSE_PLATE,SKEY,SITE_KEY,TRACTOR_STATUS_CODE,CREATE_BY,CREATE_TIME) values ('ABDD4','ABDD4',NEXTVAL('ZARA_SEQUENCE'),(SELECT SKEY FROM CAT_SITE WHERE CODE = 'LQN'),'A','SYSTEM',NOW_GMT());</v>
      </c>
    </row>
    <row r="6" spans="1:14" ht="105" x14ac:dyDescent="0.25">
      <c r="A6" s="10" t="s">
        <v>27</v>
      </c>
      <c r="B6" s="10" t="s">
        <v>269</v>
      </c>
      <c r="C6" s="11" t="s">
        <v>28</v>
      </c>
      <c r="D6" s="10" t="s">
        <v>269</v>
      </c>
      <c r="E6" s="11" t="s">
        <v>29</v>
      </c>
      <c r="F6" s="10" t="str">
        <f t="shared" si="0"/>
        <v>INSERT INTO TMS_TID_TK (TK_I, LICENCE_PLATE_AN, SUSPEND_FROM_TM, SUSPEND_TO_TM, TRACTOR_STATUS_CODE, DELETED, PARTNER_TX_D, LAST_UPDATE_USER_AN,LST_UPDT_D) VALUES ('ABDD5','ABDD5', null, null, 'A','N',NOW_GMT(),'SYSTEM',NOW_GMT());</v>
      </c>
      <c r="G6" s="10" t="s">
        <v>205</v>
      </c>
      <c r="H6" s="11" t="s">
        <v>206</v>
      </c>
      <c r="I6" s="10" t="s">
        <v>75</v>
      </c>
      <c r="J6" s="11" t="s">
        <v>229</v>
      </c>
      <c r="K6" s="193" t="str">
        <f t="shared" si="1"/>
        <v>INSERT INTO TOS_TRACTOR(TRACTOR_ID,LICENSE_PLATE,SKEY,SITE_KEY,TRACTOR_STATUS_CODE,CREATE_BY,CREATE_TIME) values ('ABDD5','ABDD5',NEXTVAL('ZARA_SEQUENCE'),(SELECT SKEY FROM CAT_SITE WHERE CODE = 'LQN'),'A','SYSTEM',NOW_GMT());</v>
      </c>
    </row>
    <row r="7" spans="1:14" ht="105" x14ac:dyDescent="0.25">
      <c r="A7" s="10" t="s">
        <v>27</v>
      </c>
      <c r="B7" s="10" t="s">
        <v>270</v>
      </c>
      <c r="C7" s="11" t="s">
        <v>28</v>
      </c>
      <c r="D7" s="10" t="s">
        <v>270</v>
      </c>
      <c r="E7" s="11" t="s">
        <v>29</v>
      </c>
      <c r="F7" s="10" t="str">
        <f t="shared" si="0"/>
        <v>INSERT INTO TMS_TID_TK (TK_I, LICENCE_PLATE_AN, SUSPEND_FROM_TM, SUSPEND_TO_TM, TRACTOR_STATUS_CODE, DELETED, PARTNER_TX_D, LAST_UPDATE_USER_AN,LST_UPDT_D) VALUES ('ABDD6','ABDD6', null, null, 'A','N',NOW_GMT(),'SYSTEM',NOW_GMT());</v>
      </c>
      <c r="G7" s="10" t="s">
        <v>205</v>
      </c>
      <c r="H7" s="11" t="s">
        <v>206</v>
      </c>
      <c r="I7" s="10" t="s">
        <v>75</v>
      </c>
      <c r="J7" s="11" t="s">
        <v>229</v>
      </c>
      <c r="K7" s="193" t="str">
        <f t="shared" si="1"/>
        <v>INSERT INTO TOS_TRACTOR(TRACTOR_ID,LICENSE_PLATE,SKEY,SITE_KEY,TRACTOR_STATUS_CODE,CREATE_BY,CREATE_TIME) values ('ABDD6','ABDD6',NEXTVAL('ZARA_SEQUENCE'),(SELECT SKEY FROM CAT_SITE WHERE CODE = 'LQN'),'A','SYSTEM',NOW_GMT());</v>
      </c>
    </row>
    <row r="8" spans="1:14" ht="105" x14ac:dyDescent="0.25">
      <c r="A8" s="10" t="s">
        <v>27</v>
      </c>
      <c r="B8" s="10" t="s">
        <v>271</v>
      </c>
      <c r="C8" s="11" t="s">
        <v>28</v>
      </c>
      <c r="D8" s="10" t="s">
        <v>271</v>
      </c>
      <c r="E8" s="11" t="s">
        <v>29</v>
      </c>
      <c r="F8" s="10" t="str">
        <f t="shared" si="0"/>
        <v>INSERT INTO TMS_TID_TK (TK_I, LICENCE_PLATE_AN, SUSPEND_FROM_TM, SUSPEND_TO_TM, TRACTOR_STATUS_CODE, DELETED, PARTNER_TX_D, LAST_UPDATE_USER_AN,LST_UPDT_D) VALUES ('ABDD7','ABDD7', null, null, 'A','N',NOW_GMT(),'SYSTEM',NOW_GMT());</v>
      </c>
      <c r="G8" s="10" t="s">
        <v>205</v>
      </c>
      <c r="H8" s="11" t="s">
        <v>206</v>
      </c>
      <c r="I8" s="10" t="s">
        <v>75</v>
      </c>
      <c r="J8" s="11" t="s">
        <v>229</v>
      </c>
      <c r="K8" s="193" t="str">
        <f t="shared" si="1"/>
        <v>INSERT INTO TOS_TRACTOR(TRACTOR_ID,LICENSE_PLATE,SKEY,SITE_KEY,TRACTOR_STATUS_CODE,CREATE_BY,CREATE_TIME) values ('ABDD7','ABDD7',NEXTVAL('ZARA_SEQUENCE'),(SELECT SKEY FROM CAT_SITE WHERE CODE = 'LQN'),'A','SYSTEM',NOW_GMT());</v>
      </c>
    </row>
    <row r="9" spans="1:14" ht="105" x14ac:dyDescent="0.25">
      <c r="A9" s="10" t="s">
        <v>27</v>
      </c>
      <c r="B9" s="10" t="s">
        <v>272</v>
      </c>
      <c r="C9" s="11" t="s">
        <v>28</v>
      </c>
      <c r="D9" s="10" t="s">
        <v>272</v>
      </c>
      <c r="E9" s="11" t="s">
        <v>29</v>
      </c>
      <c r="F9" s="10" t="str">
        <f t="shared" si="0"/>
        <v>INSERT INTO TMS_TID_TK (TK_I, LICENCE_PLATE_AN, SUSPEND_FROM_TM, SUSPEND_TO_TM, TRACTOR_STATUS_CODE, DELETED, PARTNER_TX_D, LAST_UPDATE_USER_AN,LST_UPDT_D) VALUES ('ABDD8','ABDD8', null, null, 'A','N',NOW_GMT(),'SYSTEM',NOW_GMT());</v>
      </c>
      <c r="G9" s="10" t="s">
        <v>205</v>
      </c>
      <c r="H9" s="11" t="s">
        <v>206</v>
      </c>
      <c r="I9" s="10" t="s">
        <v>75</v>
      </c>
      <c r="J9" s="11" t="s">
        <v>229</v>
      </c>
      <c r="K9" s="193" t="str">
        <f t="shared" si="1"/>
        <v>INSERT INTO TOS_TRACTOR(TRACTOR_ID,LICENSE_PLATE,SKEY,SITE_KEY,TRACTOR_STATUS_CODE,CREATE_BY,CREATE_TIME) values ('ABDD8','ABDD8',NEXTVAL('ZARA_SEQUENCE'),(SELECT SKEY FROM CAT_SITE WHERE CODE = 'LQN'),'A','SYSTEM',NOW_GMT());</v>
      </c>
    </row>
    <row r="10" spans="1:14" ht="105" x14ac:dyDescent="0.25">
      <c r="A10" s="10" t="s">
        <v>27</v>
      </c>
      <c r="B10" s="10" t="s">
        <v>273</v>
      </c>
      <c r="C10" s="11" t="s">
        <v>28</v>
      </c>
      <c r="D10" s="10" t="s">
        <v>273</v>
      </c>
      <c r="E10" s="11" t="s">
        <v>29</v>
      </c>
      <c r="F10" s="10" t="str">
        <f t="shared" si="0"/>
        <v>INSERT INTO TMS_TID_TK (TK_I, LICENCE_PLATE_AN, SUSPEND_FROM_TM, SUSPEND_TO_TM, TRACTOR_STATUS_CODE, DELETED, PARTNER_TX_D, LAST_UPDATE_USER_AN,LST_UPDT_D) VALUES ('ABDD9','ABDD9', null, null, 'A','N',NOW_GMT(),'SYSTEM',NOW_GMT());</v>
      </c>
      <c r="G10" s="10" t="s">
        <v>205</v>
      </c>
      <c r="H10" s="11" t="s">
        <v>206</v>
      </c>
      <c r="I10" s="10" t="s">
        <v>75</v>
      </c>
      <c r="J10" s="11" t="s">
        <v>229</v>
      </c>
      <c r="K10" s="193" t="str">
        <f t="shared" si="1"/>
        <v>INSERT INTO TOS_TRACTOR(TRACTOR_ID,LICENSE_PLATE,SKEY,SITE_KEY,TRACTOR_STATUS_CODE,CREATE_BY,CREATE_TIME) values ('ABDD9','ABDD9',NEXTVAL('ZARA_SEQUENCE'),(SELECT SKEY FROM CAT_SITE WHERE CODE = 'LQN'),'A','SYSTEM',NOW_GMT());</v>
      </c>
    </row>
    <row r="11" spans="1:14" ht="105" x14ac:dyDescent="0.25">
      <c r="A11" s="10" t="s">
        <v>27</v>
      </c>
      <c r="B11" s="10" t="s">
        <v>274</v>
      </c>
      <c r="C11" s="11" t="s">
        <v>28</v>
      </c>
      <c r="D11" s="10" t="s">
        <v>274</v>
      </c>
      <c r="E11" s="11" t="s">
        <v>29</v>
      </c>
      <c r="F11" s="10" t="str">
        <f t="shared" si="0"/>
        <v>INSERT INTO TMS_TID_TK (TK_I, LICENCE_PLATE_AN, SUSPEND_FROM_TM, SUSPEND_TO_TM, TRACTOR_STATUS_CODE, DELETED, PARTNER_TX_D, LAST_UPDATE_USER_AN,LST_UPDT_D) VALUES ('ABDD10','ABDD10', null, null, 'A','N',NOW_GMT(),'SYSTEM',NOW_GMT());</v>
      </c>
      <c r="G11" s="10" t="s">
        <v>205</v>
      </c>
      <c r="H11" s="11" t="s">
        <v>206</v>
      </c>
      <c r="I11" s="10" t="s">
        <v>75</v>
      </c>
      <c r="J11" s="11" t="s">
        <v>229</v>
      </c>
      <c r="K11" s="193" t="str">
        <f t="shared" si="1"/>
        <v>INSERT INTO TOS_TRACTOR(TRACTOR_ID,LICENSE_PLATE,SKEY,SITE_KEY,TRACTOR_STATUS_CODE,CREATE_BY,CREATE_TIME) values ('ABDD10','ABDD10',NEXTVAL('ZARA_SEQUENCE'),(SELECT SKEY FROM CAT_SITE WHERE CODE = 'LQN'),'A','SYSTEM',NOW_GMT());</v>
      </c>
    </row>
    <row r="12" spans="1:14" ht="105" x14ac:dyDescent="0.25">
      <c r="A12" s="10" t="s">
        <v>27</v>
      </c>
      <c r="B12" s="10" t="s">
        <v>275</v>
      </c>
      <c r="C12" s="11" t="s">
        <v>28</v>
      </c>
      <c r="D12" s="10" t="s">
        <v>275</v>
      </c>
      <c r="E12" s="11" t="s">
        <v>29</v>
      </c>
      <c r="F12" s="10" t="str">
        <f t="shared" si="0"/>
        <v>INSERT INTO TMS_TID_TK (TK_I, LICENCE_PLATE_AN, SUSPEND_FROM_TM, SUSPEND_TO_TM, TRACTOR_STATUS_CODE, DELETED, PARTNER_TX_D, LAST_UPDATE_USER_AN,LST_UPDT_D) VALUES ('ABDD11','ABDD11', null, null, 'A','N',NOW_GMT(),'SYSTEM',NOW_GMT());</v>
      </c>
      <c r="G12" s="10" t="s">
        <v>205</v>
      </c>
      <c r="H12" s="11" t="s">
        <v>206</v>
      </c>
      <c r="I12" s="10" t="s">
        <v>75</v>
      </c>
      <c r="J12" s="11" t="s">
        <v>229</v>
      </c>
      <c r="K12" s="193" t="str">
        <f t="shared" si="1"/>
        <v>INSERT INTO TOS_TRACTOR(TRACTOR_ID,LICENSE_PLATE,SKEY,SITE_KEY,TRACTOR_STATUS_CODE,CREATE_BY,CREATE_TIME) values ('ABDD11','ABDD11',NEXTVAL('ZARA_SEQUENCE'),(SELECT SKEY FROM CAT_SITE WHERE CODE = 'LQN'),'A','SYSTEM',NOW_GMT());</v>
      </c>
    </row>
    <row r="13" spans="1:14" ht="105" x14ac:dyDescent="0.25">
      <c r="A13" s="10" t="s">
        <v>27</v>
      </c>
      <c r="B13" s="10" t="s">
        <v>276</v>
      </c>
      <c r="C13" s="11" t="s">
        <v>28</v>
      </c>
      <c r="D13" s="10" t="s">
        <v>276</v>
      </c>
      <c r="E13" s="11" t="s">
        <v>29</v>
      </c>
      <c r="F13" s="10" t="str">
        <f t="shared" si="0"/>
        <v>INSERT INTO TMS_TID_TK (TK_I, LICENCE_PLATE_AN, SUSPEND_FROM_TM, SUSPEND_TO_TM, TRACTOR_STATUS_CODE, DELETED, PARTNER_TX_D, LAST_UPDATE_USER_AN,LST_UPDT_D) VALUES ('ABDD12','ABDD12', null, null, 'A','N',NOW_GMT(),'SYSTEM',NOW_GMT());</v>
      </c>
      <c r="G13" s="10" t="s">
        <v>205</v>
      </c>
      <c r="H13" s="11" t="s">
        <v>206</v>
      </c>
      <c r="I13" s="10" t="s">
        <v>75</v>
      </c>
      <c r="J13" s="11" t="s">
        <v>229</v>
      </c>
      <c r="K13" s="193" t="str">
        <f t="shared" si="1"/>
        <v>INSERT INTO TOS_TRACTOR(TRACTOR_ID,LICENSE_PLATE,SKEY,SITE_KEY,TRACTOR_STATUS_CODE,CREATE_BY,CREATE_TIME) values ('ABDD12','ABDD12',NEXTVAL('ZARA_SEQUENCE'),(SELECT SKEY FROM CAT_SITE WHERE CODE = 'LQN'),'A','SYSTEM',NOW_GMT());</v>
      </c>
    </row>
    <row r="14" spans="1:14" ht="105" x14ac:dyDescent="0.25">
      <c r="A14" s="10" t="s">
        <v>27</v>
      </c>
      <c r="B14" s="10" t="s">
        <v>277</v>
      </c>
      <c r="C14" s="11" t="s">
        <v>28</v>
      </c>
      <c r="D14" s="10" t="s">
        <v>277</v>
      </c>
      <c r="E14" s="11" t="s">
        <v>29</v>
      </c>
      <c r="F14" s="10" t="str">
        <f t="shared" si="0"/>
        <v>INSERT INTO TMS_TID_TK (TK_I, LICENCE_PLATE_AN, SUSPEND_FROM_TM, SUSPEND_TO_TM, TRACTOR_STATUS_CODE, DELETED, PARTNER_TX_D, LAST_UPDATE_USER_AN,LST_UPDT_D) VALUES ('ABDD13','ABDD13', null, null, 'A','N',NOW_GMT(),'SYSTEM',NOW_GMT());</v>
      </c>
      <c r="G14" s="10" t="s">
        <v>205</v>
      </c>
      <c r="H14" s="11" t="s">
        <v>206</v>
      </c>
      <c r="I14" s="10" t="s">
        <v>75</v>
      </c>
      <c r="J14" s="11" t="s">
        <v>229</v>
      </c>
      <c r="K14" s="193" t="str">
        <f t="shared" si="1"/>
        <v>INSERT INTO TOS_TRACTOR(TRACTOR_ID,LICENSE_PLATE,SKEY,SITE_KEY,TRACTOR_STATUS_CODE,CREATE_BY,CREATE_TIME) values ('ABDD13','ABDD13',NEXTVAL('ZARA_SEQUENCE'),(SELECT SKEY FROM CAT_SITE WHERE CODE = 'LQN'),'A','SYSTEM',NOW_GMT());</v>
      </c>
    </row>
    <row r="15" spans="1:14" ht="105" x14ac:dyDescent="0.25">
      <c r="A15" s="10" t="s">
        <v>27</v>
      </c>
      <c r="B15" s="10" t="s">
        <v>278</v>
      </c>
      <c r="C15" s="11" t="s">
        <v>28</v>
      </c>
      <c r="D15" s="10" t="s">
        <v>278</v>
      </c>
      <c r="E15" s="11" t="s">
        <v>29</v>
      </c>
      <c r="F15" s="10" t="str">
        <f t="shared" si="0"/>
        <v>INSERT INTO TMS_TID_TK (TK_I, LICENCE_PLATE_AN, SUSPEND_FROM_TM, SUSPEND_TO_TM, TRACTOR_STATUS_CODE, DELETED, PARTNER_TX_D, LAST_UPDATE_USER_AN,LST_UPDT_D) VALUES ('ABDD14','ABDD14', null, null, 'A','N',NOW_GMT(),'SYSTEM',NOW_GMT());</v>
      </c>
      <c r="G15" s="10" t="s">
        <v>205</v>
      </c>
      <c r="H15" s="11" t="s">
        <v>206</v>
      </c>
      <c r="I15" s="10" t="s">
        <v>75</v>
      </c>
      <c r="J15" s="11" t="s">
        <v>229</v>
      </c>
      <c r="K15" s="193" t="str">
        <f t="shared" si="1"/>
        <v>INSERT INTO TOS_TRACTOR(TRACTOR_ID,LICENSE_PLATE,SKEY,SITE_KEY,TRACTOR_STATUS_CODE,CREATE_BY,CREATE_TIME) values ('ABDD14','ABDD14',NEXTVAL('ZARA_SEQUENCE'),(SELECT SKEY FROM CAT_SITE WHERE CODE = 'LQN'),'A','SYSTEM',NOW_GMT());</v>
      </c>
    </row>
    <row r="16" spans="1:14" ht="105" x14ac:dyDescent="0.25">
      <c r="A16" s="10" t="s">
        <v>27</v>
      </c>
      <c r="B16" s="10" t="s">
        <v>279</v>
      </c>
      <c r="C16" s="11" t="s">
        <v>28</v>
      </c>
      <c r="D16" s="10" t="s">
        <v>279</v>
      </c>
      <c r="E16" s="11" t="s">
        <v>29</v>
      </c>
      <c r="F16" s="10" t="str">
        <f t="shared" si="0"/>
        <v>INSERT INTO TMS_TID_TK (TK_I, LICENCE_PLATE_AN, SUSPEND_FROM_TM, SUSPEND_TO_TM, TRACTOR_STATUS_CODE, DELETED, PARTNER_TX_D, LAST_UPDATE_USER_AN,LST_UPDT_D) VALUES ('ABDD15','ABDD15', null, null, 'A','N',NOW_GMT(),'SYSTEM',NOW_GMT());</v>
      </c>
      <c r="G16" s="10" t="s">
        <v>205</v>
      </c>
      <c r="H16" s="11" t="s">
        <v>206</v>
      </c>
      <c r="I16" s="10" t="s">
        <v>75</v>
      </c>
      <c r="J16" s="11" t="s">
        <v>229</v>
      </c>
      <c r="K16" s="193" t="str">
        <f t="shared" si="1"/>
        <v>INSERT INTO TOS_TRACTOR(TRACTOR_ID,LICENSE_PLATE,SKEY,SITE_KEY,TRACTOR_STATUS_CODE,CREATE_BY,CREATE_TIME) values ('ABDD15','ABDD15',NEXTVAL('ZARA_SEQUENCE'),(SELECT SKEY FROM CAT_SITE WHERE CODE = 'LQN'),'A','SYSTEM',NOW_GMT());</v>
      </c>
    </row>
    <row r="17" spans="1:11" ht="105" x14ac:dyDescent="0.25">
      <c r="A17" s="10" t="s">
        <v>27</v>
      </c>
      <c r="B17" s="10" t="s">
        <v>280</v>
      </c>
      <c r="C17" s="11" t="s">
        <v>28</v>
      </c>
      <c r="D17" s="10" t="s">
        <v>280</v>
      </c>
      <c r="E17" s="11" t="s">
        <v>29</v>
      </c>
      <c r="F17" s="10" t="str">
        <f t="shared" si="0"/>
        <v>INSERT INTO TMS_TID_TK (TK_I, LICENCE_PLATE_AN, SUSPEND_FROM_TM, SUSPEND_TO_TM, TRACTOR_STATUS_CODE, DELETED, PARTNER_TX_D, LAST_UPDATE_USER_AN,LST_UPDT_D) VALUES ('ABDD16','ABDD16', null, null, 'A','N',NOW_GMT(),'SYSTEM',NOW_GMT());</v>
      </c>
      <c r="G17" s="10" t="s">
        <v>205</v>
      </c>
      <c r="H17" s="11" t="s">
        <v>206</v>
      </c>
      <c r="I17" s="10" t="s">
        <v>75</v>
      </c>
      <c r="J17" s="11" t="s">
        <v>229</v>
      </c>
      <c r="K17" s="193" t="str">
        <f t="shared" si="1"/>
        <v>INSERT INTO TOS_TRACTOR(TRACTOR_ID,LICENSE_PLATE,SKEY,SITE_KEY,TRACTOR_STATUS_CODE,CREATE_BY,CREATE_TIME) values ('ABDD16','ABDD16',NEXTVAL('ZARA_SEQUENCE'),(SELECT SKEY FROM CAT_SITE WHERE CODE = 'LQN'),'A','SYSTEM',NOW_GMT());</v>
      </c>
    </row>
    <row r="18" spans="1:11" ht="105" x14ac:dyDescent="0.25">
      <c r="A18" s="10" t="s">
        <v>27</v>
      </c>
      <c r="B18" s="10" t="s">
        <v>281</v>
      </c>
      <c r="C18" s="11" t="s">
        <v>28</v>
      </c>
      <c r="D18" s="10" t="s">
        <v>281</v>
      </c>
      <c r="E18" s="11" t="s">
        <v>29</v>
      </c>
      <c r="F18" s="10" t="str">
        <f t="shared" si="0"/>
        <v>INSERT INTO TMS_TID_TK (TK_I, LICENCE_PLATE_AN, SUSPEND_FROM_TM, SUSPEND_TO_TM, TRACTOR_STATUS_CODE, DELETED, PARTNER_TX_D, LAST_UPDATE_USER_AN,LST_UPDT_D) VALUES ('ABDD17','ABDD17', null, null, 'A','N',NOW_GMT(),'SYSTEM',NOW_GMT());</v>
      </c>
      <c r="G18" s="10" t="s">
        <v>205</v>
      </c>
      <c r="H18" s="11" t="s">
        <v>206</v>
      </c>
      <c r="I18" s="10" t="s">
        <v>75</v>
      </c>
      <c r="J18" s="11" t="s">
        <v>229</v>
      </c>
      <c r="K18" s="193" t="str">
        <f t="shared" si="1"/>
        <v>INSERT INTO TOS_TRACTOR(TRACTOR_ID,LICENSE_PLATE,SKEY,SITE_KEY,TRACTOR_STATUS_CODE,CREATE_BY,CREATE_TIME) values ('ABDD17','ABDD17',NEXTVAL('ZARA_SEQUENCE'),(SELECT SKEY FROM CAT_SITE WHERE CODE = 'LQN'),'A','SYSTEM',NOW_GMT());</v>
      </c>
    </row>
    <row r="19" spans="1:11" ht="105" x14ac:dyDescent="0.25">
      <c r="A19" s="10" t="s">
        <v>27</v>
      </c>
      <c r="B19" s="10" t="s">
        <v>282</v>
      </c>
      <c r="C19" s="11" t="s">
        <v>28</v>
      </c>
      <c r="D19" s="10" t="s">
        <v>282</v>
      </c>
      <c r="E19" s="11" t="s">
        <v>29</v>
      </c>
      <c r="F19" s="10" t="str">
        <f t="shared" si="0"/>
        <v>INSERT INTO TMS_TID_TK (TK_I, LICENCE_PLATE_AN, SUSPEND_FROM_TM, SUSPEND_TO_TM, TRACTOR_STATUS_CODE, DELETED, PARTNER_TX_D, LAST_UPDATE_USER_AN,LST_UPDT_D) VALUES ('ABDD18','ABDD18', null, null, 'A','N',NOW_GMT(),'SYSTEM',NOW_GMT());</v>
      </c>
      <c r="G19" s="10" t="s">
        <v>205</v>
      </c>
      <c r="H19" s="11" t="s">
        <v>206</v>
      </c>
      <c r="I19" s="10" t="s">
        <v>75</v>
      </c>
      <c r="J19" s="11" t="s">
        <v>229</v>
      </c>
      <c r="K19" s="193" t="str">
        <f t="shared" si="1"/>
        <v>INSERT INTO TOS_TRACTOR(TRACTOR_ID,LICENSE_PLATE,SKEY,SITE_KEY,TRACTOR_STATUS_CODE,CREATE_BY,CREATE_TIME) values ('ABDD18','ABDD18',NEXTVAL('ZARA_SEQUENCE'),(SELECT SKEY FROM CAT_SITE WHERE CODE = 'LQN'),'A','SYSTEM',NOW_GMT());</v>
      </c>
    </row>
    <row r="20" spans="1:11" ht="105" x14ac:dyDescent="0.25">
      <c r="A20" s="10" t="s">
        <v>27</v>
      </c>
      <c r="B20" s="10" t="s">
        <v>283</v>
      </c>
      <c r="C20" s="11" t="s">
        <v>28</v>
      </c>
      <c r="D20" s="10" t="s">
        <v>283</v>
      </c>
      <c r="E20" s="11" t="s">
        <v>29</v>
      </c>
      <c r="F20" s="10" t="str">
        <f t="shared" si="0"/>
        <v>INSERT INTO TMS_TID_TK (TK_I, LICENCE_PLATE_AN, SUSPEND_FROM_TM, SUSPEND_TO_TM, TRACTOR_STATUS_CODE, DELETED, PARTNER_TX_D, LAST_UPDATE_USER_AN,LST_UPDT_D) VALUES ('ABDD19','ABDD19', null, null, 'A','N',NOW_GMT(),'SYSTEM',NOW_GMT());</v>
      </c>
      <c r="G20" s="10" t="s">
        <v>205</v>
      </c>
      <c r="H20" s="11" t="s">
        <v>206</v>
      </c>
      <c r="I20" s="10" t="s">
        <v>75</v>
      </c>
      <c r="J20" s="11" t="s">
        <v>229</v>
      </c>
      <c r="K20" s="193" t="str">
        <f t="shared" si="1"/>
        <v>INSERT INTO TOS_TRACTOR(TRACTOR_ID,LICENSE_PLATE,SKEY,SITE_KEY,TRACTOR_STATUS_CODE,CREATE_BY,CREATE_TIME) values ('ABDD19','ABDD19',NEXTVAL('ZARA_SEQUENCE'),(SELECT SKEY FROM CAT_SITE WHERE CODE = 'LQN'),'A','SYSTEM',NOW_GMT());</v>
      </c>
    </row>
    <row r="21" spans="1:11" ht="105" x14ac:dyDescent="0.25">
      <c r="A21" s="10" t="s">
        <v>27</v>
      </c>
      <c r="B21" s="10" t="s">
        <v>284</v>
      </c>
      <c r="C21" s="11" t="s">
        <v>28</v>
      </c>
      <c r="D21" s="10" t="s">
        <v>284</v>
      </c>
      <c r="E21" s="11" t="s">
        <v>29</v>
      </c>
      <c r="F21" s="10" t="str">
        <f t="shared" si="0"/>
        <v>INSERT INTO TMS_TID_TK (TK_I, LICENCE_PLATE_AN, SUSPEND_FROM_TM, SUSPEND_TO_TM, TRACTOR_STATUS_CODE, DELETED, PARTNER_TX_D, LAST_UPDATE_USER_AN,LST_UPDT_D) VALUES ('ABDD20','ABDD20', null, null, 'A','N',NOW_GMT(),'SYSTEM',NOW_GMT());</v>
      </c>
      <c r="G21" s="10" t="s">
        <v>205</v>
      </c>
      <c r="H21" s="11" t="s">
        <v>206</v>
      </c>
      <c r="I21" s="10" t="s">
        <v>75</v>
      </c>
      <c r="J21" s="11" t="s">
        <v>229</v>
      </c>
      <c r="K21" s="193" t="str">
        <f t="shared" si="1"/>
        <v>INSERT INTO TOS_TRACTOR(TRACTOR_ID,LICENSE_PLATE,SKEY,SITE_KEY,TRACTOR_STATUS_CODE,CREATE_BY,CREATE_TIME) values ('ABDD20','ABDD20',NEXTVAL('ZARA_SEQUENCE'),(SELECT SKEY FROM CAT_SITE WHERE CODE = 'LQN'),'A','SYSTEM',NOW_GMT());</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O21"/>
  <sheetViews>
    <sheetView zoomScale="70" zoomScaleNormal="70" workbookViewId="0">
      <selection activeCell="O3" sqref="O3"/>
    </sheetView>
  </sheetViews>
  <sheetFormatPr defaultRowHeight="15" x14ac:dyDescent="0.25"/>
  <cols>
    <col min="1" max="1" width="79.28515625" style="17" customWidth="1"/>
    <col min="2" max="3" width="5.28515625" style="17" customWidth="1"/>
    <col min="4" max="4" width="18.85546875" style="17" customWidth="1"/>
    <col min="5" max="5" width="5.28515625" style="17" customWidth="1"/>
    <col min="6" max="6" width="18.85546875" style="17" customWidth="1"/>
    <col min="7" max="7" width="19" style="17" customWidth="1"/>
    <col min="8" max="8" width="76.28515625" style="18" customWidth="1"/>
    <col min="9" max="9" width="60.42578125" style="17" customWidth="1"/>
    <col min="10" max="10" width="39.85546875" style="17" customWidth="1"/>
    <col min="11" max="14" width="9.85546875" style="17" customWidth="1"/>
    <col min="15" max="15" width="94.140625" style="17" customWidth="1"/>
    <col min="16" max="16384" width="9.140625" style="17"/>
  </cols>
  <sheetData>
    <row r="1" spans="1:15" s="13" customFormat="1" ht="18.75" x14ac:dyDescent="0.3">
      <c r="A1" s="12"/>
      <c r="B1" s="12"/>
      <c r="C1" s="12"/>
      <c r="D1" s="7" t="s">
        <v>19</v>
      </c>
      <c r="E1" s="7"/>
      <c r="F1" s="6" t="s">
        <v>20</v>
      </c>
      <c r="G1" s="12"/>
      <c r="H1" s="195" t="s">
        <v>233</v>
      </c>
      <c r="I1" s="196"/>
      <c r="J1" s="196"/>
      <c r="K1" s="196"/>
      <c r="L1" s="196"/>
      <c r="M1" s="196"/>
      <c r="N1" s="196"/>
      <c r="O1" s="195" t="s">
        <v>194</v>
      </c>
    </row>
    <row r="2" spans="1:15" ht="148.5" customHeight="1" x14ac:dyDescent="0.25">
      <c r="A2" s="14" t="s">
        <v>30</v>
      </c>
      <c r="B2" s="14" t="s">
        <v>31</v>
      </c>
      <c r="C2" s="15" t="s">
        <v>32</v>
      </c>
      <c r="D2" s="15" t="s">
        <v>264</v>
      </c>
      <c r="E2" s="15" t="s">
        <v>28</v>
      </c>
      <c r="F2" s="10" t="s">
        <v>265</v>
      </c>
      <c r="G2" s="15" t="s">
        <v>33</v>
      </c>
      <c r="H2" s="16" t="str">
        <f>CONCATENATE(A2,B2,C2,D2,E2,F2,G2)</f>
        <v>INSERT INTO TMS_TID_TKCO_TK (TK_CO_I, TK_I, DELETED, LAST_UPDATE_TM, LAST_UPDATE_USER_AN) VALUES ('ABDD','ABDD1','N',NOW_GMT(),'SYSTEM');</v>
      </c>
      <c r="I2" s="193" t="s">
        <v>207</v>
      </c>
      <c r="J2" s="194" t="s">
        <v>208</v>
      </c>
      <c r="K2" s="193" t="s">
        <v>75</v>
      </c>
      <c r="L2" s="194" t="s">
        <v>209</v>
      </c>
      <c r="M2" s="194" t="s">
        <v>210</v>
      </c>
      <c r="N2" s="194" t="s">
        <v>211</v>
      </c>
      <c r="O2" s="193" t="str">
        <f>CONCATENATE(I2,D2,C2,J2,K2,L2,F2,M2,K2,N2)</f>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 AND  SITE_KEY = (SELECT SKEY FROM CAT_SITE WHERE CODE = 'LQN')),'SYSTEM',NOW_GMT());</v>
      </c>
    </row>
    <row r="3" spans="1:15" ht="120" x14ac:dyDescent="0.25">
      <c r="A3" s="14" t="s">
        <v>30</v>
      </c>
      <c r="B3" s="14" t="s">
        <v>31</v>
      </c>
      <c r="C3" s="15" t="s">
        <v>32</v>
      </c>
      <c r="D3" s="15" t="s">
        <v>264</v>
      </c>
      <c r="E3" s="15" t="s">
        <v>28</v>
      </c>
      <c r="F3" s="17" t="s">
        <v>266</v>
      </c>
      <c r="G3" s="15" t="s">
        <v>33</v>
      </c>
      <c r="H3" s="16" t="str">
        <f t="shared" ref="H3:H21" si="0">CONCATENATE(A3,B3,C3,D3,E3,F3,G3)</f>
        <v>INSERT INTO TMS_TID_TKCO_TK (TK_CO_I, TK_I, DELETED, LAST_UPDATE_TM, LAST_UPDATE_USER_AN) VALUES ('ABDD','ABDD2','N',NOW_GMT(),'SYSTEM');</v>
      </c>
      <c r="I3" s="193" t="s">
        <v>207</v>
      </c>
      <c r="J3" s="194" t="s">
        <v>208</v>
      </c>
      <c r="K3" s="193" t="s">
        <v>75</v>
      </c>
      <c r="L3" s="194" t="s">
        <v>209</v>
      </c>
      <c r="M3" s="194" t="s">
        <v>210</v>
      </c>
      <c r="N3" s="194" t="s">
        <v>211</v>
      </c>
      <c r="O3" s="193" t="str">
        <f t="shared" ref="O3:O21" si="1">CONCATENATE(I3,D3,C3,J3,K3,L3,F3,M3,K3,N3)</f>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'ABDD2' AND  SITE_KEY = (SELECT SKEY FROM CAT_SITE WHERE CODE = 'LQN')),'SYSTEM',NOW_GMT());</v>
      </c>
    </row>
    <row r="4" spans="1:15" ht="120" x14ac:dyDescent="0.25">
      <c r="A4" s="14" t="s">
        <v>30</v>
      </c>
      <c r="B4" s="14" t="s">
        <v>31</v>
      </c>
      <c r="C4" s="15" t="s">
        <v>32</v>
      </c>
      <c r="D4" s="15" t="s">
        <v>264</v>
      </c>
      <c r="E4" s="15" t="s">
        <v>28</v>
      </c>
      <c r="F4" s="17" t="s">
        <v>267</v>
      </c>
      <c r="G4" s="15" t="s">
        <v>33</v>
      </c>
      <c r="H4" s="16" t="str">
        <f t="shared" si="0"/>
        <v>INSERT INTO TMS_TID_TKCO_TK (TK_CO_I, TK_I, DELETED, LAST_UPDATE_TM, LAST_UPDATE_USER_AN) VALUES ('ABDD','ABDD3','N',NOW_GMT(),'SYSTEM');</v>
      </c>
      <c r="I4" s="193" t="s">
        <v>207</v>
      </c>
      <c r="J4" s="194" t="s">
        <v>208</v>
      </c>
      <c r="K4" s="193" t="s">
        <v>75</v>
      </c>
      <c r="L4" s="194" t="s">
        <v>209</v>
      </c>
      <c r="M4" s="194" t="s">
        <v>210</v>
      </c>
      <c r="N4" s="194" t="s">
        <v>211</v>
      </c>
      <c r="O4"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'ABDD3' AND  SITE_KEY = (SELECT SKEY FROM CAT_SITE WHERE CODE = 'LQN')),'SYSTEM',NOW_GMT());</v>
      </c>
    </row>
    <row r="5" spans="1:15" ht="120" x14ac:dyDescent="0.25">
      <c r="A5" s="14" t="s">
        <v>30</v>
      </c>
      <c r="B5" s="14" t="s">
        <v>31</v>
      </c>
      <c r="C5" s="15" t="s">
        <v>32</v>
      </c>
      <c r="D5" s="15" t="s">
        <v>264</v>
      </c>
      <c r="E5" s="15" t="s">
        <v>28</v>
      </c>
      <c r="F5" s="17" t="s">
        <v>268</v>
      </c>
      <c r="G5" s="15" t="s">
        <v>33</v>
      </c>
      <c r="H5" s="16" t="str">
        <f t="shared" si="0"/>
        <v>INSERT INTO TMS_TID_TKCO_TK (TK_CO_I, TK_I, DELETED, LAST_UPDATE_TM, LAST_UPDATE_USER_AN) VALUES ('ABDD','ABDD4','N',NOW_GMT(),'SYSTEM');</v>
      </c>
      <c r="I5" s="193" t="s">
        <v>207</v>
      </c>
      <c r="J5" s="194" t="s">
        <v>208</v>
      </c>
      <c r="K5" s="193" t="s">
        <v>75</v>
      </c>
      <c r="L5" s="194" t="s">
        <v>209</v>
      </c>
      <c r="M5" s="194" t="s">
        <v>210</v>
      </c>
      <c r="N5" s="194" t="s">
        <v>211</v>
      </c>
      <c r="O5"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'ABDD4' AND  SITE_KEY = (SELECT SKEY FROM CAT_SITE WHERE CODE = 'LQN')),'SYSTEM',NOW_GMT());</v>
      </c>
    </row>
    <row r="6" spans="1:15" ht="120" x14ac:dyDescent="0.25">
      <c r="A6" s="14" t="s">
        <v>30</v>
      </c>
      <c r="B6" s="14" t="s">
        <v>31</v>
      </c>
      <c r="C6" s="15" t="s">
        <v>32</v>
      </c>
      <c r="D6" s="15" t="s">
        <v>264</v>
      </c>
      <c r="E6" s="15" t="s">
        <v>28</v>
      </c>
      <c r="F6" s="17" t="s">
        <v>269</v>
      </c>
      <c r="G6" s="15" t="s">
        <v>33</v>
      </c>
      <c r="H6" s="16" t="str">
        <f t="shared" si="0"/>
        <v>INSERT INTO TMS_TID_TKCO_TK (TK_CO_I, TK_I, DELETED, LAST_UPDATE_TM, LAST_UPDATE_USER_AN) VALUES ('ABDD','ABDD5','N',NOW_GMT(),'SYSTEM');</v>
      </c>
      <c r="I6" s="193" t="s">
        <v>207</v>
      </c>
      <c r="J6" s="194" t="s">
        <v>208</v>
      </c>
      <c r="K6" s="193" t="s">
        <v>75</v>
      </c>
      <c r="L6" s="194" t="s">
        <v>209</v>
      </c>
      <c r="M6" s="194" t="s">
        <v>210</v>
      </c>
      <c r="N6" s="194" t="s">
        <v>211</v>
      </c>
      <c r="O6"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'ABDD5' AND  SITE_KEY = (SELECT SKEY FROM CAT_SITE WHERE CODE = 'LQN')),'SYSTEM',NOW_GMT());</v>
      </c>
    </row>
    <row r="7" spans="1:15" ht="120" x14ac:dyDescent="0.25">
      <c r="A7" s="14" t="s">
        <v>30</v>
      </c>
      <c r="B7" s="14" t="s">
        <v>31</v>
      </c>
      <c r="C7" s="15" t="s">
        <v>32</v>
      </c>
      <c r="D7" s="15" t="s">
        <v>264</v>
      </c>
      <c r="E7" s="15" t="s">
        <v>28</v>
      </c>
      <c r="F7" s="17" t="s">
        <v>270</v>
      </c>
      <c r="G7" s="15" t="s">
        <v>33</v>
      </c>
      <c r="H7" s="16" t="str">
        <f t="shared" si="0"/>
        <v>INSERT INTO TMS_TID_TKCO_TK (TK_CO_I, TK_I, DELETED, LAST_UPDATE_TM, LAST_UPDATE_USER_AN) VALUES ('ABDD','ABDD6','N',NOW_GMT(),'SYSTEM');</v>
      </c>
      <c r="I7" s="193" t="s">
        <v>207</v>
      </c>
      <c r="J7" s="194" t="s">
        <v>208</v>
      </c>
      <c r="K7" s="193" t="s">
        <v>75</v>
      </c>
      <c r="L7" s="194" t="s">
        <v>209</v>
      </c>
      <c r="M7" s="194" t="s">
        <v>210</v>
      </c>
      <c r="N7" s="194" t="s">
        <v>211</v>
      </c>
      <c r="O7"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'ABDD6' AND  SITE_KEY = (SELECT SKEY FROM CAT_SITE WHERE CODE = 'LQN')),'SYSTEM',NOW_GMT());</v>
      </c>
    </row>
    <row r="8" spans="1:15" ht="120" x14ac:dyDescent="0.25">
      <c r="A8" s="14" t="s">
        <v>30</v>
      </c>
      <c r="B8" s="14" t="s">
        <v>31</v>
      </c>
      <c r="C8" s="15" t="s">
        <v>32</v>
      </c>
      <c r="D8" s="15" t="s">
        <v>264</v>
      </c>
      <c r="E8" s="15" t="s">
        <v>28</v>
      </c>
      <c r="F8" s="17" t="s">
        <v>271</v>
      </c>
      <c r="G8" s="15" t="s">
        <v>33</v>
      </c>
      <c r="H8" s="16" t="str">
        <f t="shared" si="0"/>
        <v>INSERT INTO TMS_TID_TKCO_TK (TK_CO_I, TK_I, DELETED, LAST_UPDATE_TM, LAST_UPDATE_USER_AN) VALUES ('ABDD','ABDD7','N',NOW_GMT(),'SYSTEM');</v>
      </c>
      <c r="I8" s="193" t="s">
        <v>207</v>
      </c>
      <c r="J8" s="194" t="s">
        <v>208</v>
      </c>
      <c r="K8" s="193" t="s">
        <v>75</v>
      </c>
      <c r="L8" s="194" t="s">
        <v>209</v>
      </c>
      <c r="M8" s="194" t="s">
        <v>210</v>
      </c>
      <c r="N8" s="194" t="s">
        <v>211</v>
      </c>
      <c r="O8"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'ABDD7' AND  SITE_KEY = (SELECT SKEY FROM CAT_SITE WHERE CODE = 'LQN')),'SYSTEM',NOW_GMT());</v>
      </c>
    </row>
    <row r="9" spans="1:15" ht="120" x14ac:dyDescent="0.25">
      <c r="A9" s="14" t="s">
        <v>30</v>
      </c>
      <c r="B9" s="14" t="s">
        <v>31</v>
      </c>
      <c r="C9" s="15" t="s">
        <v>32</v>
      </c>
      <c r="D9" s="15" t="s">
        <v>264</v>
      </c>
      <c r="E9" s="15" t="s">
        <v>28</v>
      </c>
      <c r="F9" s="17" t="s">
        <v>272</v>
      </c>
      <c r="G9" s="15" t="s">
        <v>33</v>
      </c>
      <c r="H9" s="16" t="str">
        <f t="shared" si="0"/>
        <v>INSERT INTO TMS_TID_TKCO_TK (TK_CO_I, TK_I, DELETED, LAST_UPDATE_TM, LAST_UPDATE_USER_AN) VALUES ('ABDD','ABDD8','N',NOW_GMT(),'SYSTEM');</v>
      </c>
      <c r="I9" s="193" t="s">
        <v>207</v>
      </c>
      <c r="J9" s="194" t="s">
        <v>208</v>
      </c>
      <c r="K9" s="193" t="s">
        <v>75</v>
      </c>
      <c r="L9" s="194" t="s">
        <v>209</v>
      </c>
      <c r="M9" s="194" t="s">
        <v>210</v>
      </c>
      <c r="N9" s="194" t="s">
        <v>211</v>
      </c>
      <c r="O9"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'ABDD8' AND  SITE_KEY = (SELECT SKEY FROM CAT_SITE WHERE CODE = 'LQN')),'SYSTEM',NOW_GMT());</v>
      </c>
    </row>
    <row r="10" spans="1:15" ht="120" x14ac:dyDescent="0.25">
      <c r="A10" s="14" t="s">
        <v>30</v>
      </c>
      <c r="B10" s="14" t="s">
        <v>31</v>
      </c>
      <c r="C10" s="15" t="s">
        <v>32</v>
      </c>
      <c r="D10" s="15" t="s">
        <v>264</v>
      </c>
      <c r="E10" s="15" t="s">
        <v>28</v>
      </c>
      <c r="F10" s="17" t="s">
        <v>273</v>
      </c>
      <c r="G10" s="15" t="s">
        <v>33</v>
      </c>
      <c r="H10" s="16" t="str">
        <f t="shared" si="0"/>
        <v>INSERT INTO TMS_TID_TKCO_TK (TK_CO_I, TK_I, DELETED, LAST_UPDATE_TM, LAST_UPDATE_USER_AN) VALUES ('ABDD','ABDD9','N',NOW_GMT(),'SYSTEM');</v>
      </c>
      <c r="I10" s="193" t="s">
        <v>207</v>
      </c>
      <c r="J10" s="194" t="s">
        <v>208</v>
      </c>
      <c r="K10" s="193" t="s">
        <v>75</v>
      </c>
      <c r="L10" s="194" t="s">
        <v>209</v>
      </c>
      <c r="M10" s="194" t="s">
        <v>210</v>
      </c>
      <c r="N10" s="194" t="s">
        <v>211</v>
      </c>
      <c r="O10"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'ABDD9' AND  SITE_KEY = (SELECT SKEY FROM CAT_SITE WHERE CODE = 'LQN')),'SYSTEM',NOW_GMT());</v>
      </c>
    </row>
    <row r="11" spans="1:15" ht="120" x14ac:dyDescent="0.25">
      <c r="A11" s="14" t="s">
        <v>30</v>
      </c>
      <c r="B11" s="14" t="s">
        <v>31</v>
      </c>
      <c r="C11" s="15" t="s">
        <v>32</v>
      </c>
      <c r="D11" s="15" t="s">
        <v>264</v>
      </c>
      <c r="E11" s="15" t="s">
        <v>28</v>
      </c>
      <c r="F11" s="17" t="s">
        <v>274</v>
      </c>
      <c r="G11" s="15" t="s">
        <v>33</v>
      </c>
      <c r="H11" s="16" t="str">
        <f t="shared" si="0"/>
        <v>INSERT INTO TMS_TID_TKCO_TK (TK_CO_I, TK_I, DELETED, LAST_UPDATE_TM, LAST_UPDATE_USER_AN) VALUES ('ABDD','ABDD10','N',NOW_GMT(),'SYSTEM');</v>
      </c>
      <c r="I11" s="193" t="s">
        <v>207</v>
      </c>
      <c r="J11" s="194" t="s">
        <v>208</v>
      </c>
      <c r="K11" s="193" t="s">
        <v>75</v>
      </c>
      <c r="L11" s="194" t="s">
        <v>209</v>
      </c>
      <c r="M11" s="194" t="s">
        <v>210</v>
      </c>
      <c r="N11" s="194" t="s">
        <v>211</v>
      </c>
      <c r="O11"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'ABDD10' AND  SITE_KEY = (SELECT SKEY FROM CAT_SITE WHERE CODE = 'LQN')),'SYSTEM',NOW_GMT());</v>
      </c>
    </row>
    <row r="12" spans="1:15" ht="120" x14ac:dyDescent="0.25">
      <c r="A12" s="14" t="s">
        <v>30</v>
      </c>
      <c r="B12" s="14" t="s">
        <v>31</v>
      </c>
      <c r="C12" s="15" t="s">
        <v>32</v>
      </c>
      <c r="D12" s="15" t="s">
        <v>264</v>
      </c>
      <c r="E12" s="15" t="s">
        <v>28</v>
      </c>
      <c r="F12" s="17" t="s">
        <v>275</v>
      </c>
      <c r="G12" s="15" t="s">
        <v>33</v>
      </c>
      <c r="H12" s="16" t="str">
        <f t="shared" si="0"/>
        <v>INSERT INTO TMS_TID_TKCO_TK (TK_CO_I, TK_I, DELETED, LAST_UPDATE_TM, LAST_UPDATE_USER_AN) VALUES ('ABDD','ABDD11','N',NOW_GMT(),'SYSTEM');</v>
      </c>
      <c r="I12" s="193" t="s">
        <v>207</v>
      </c>
      <c r="J12" s="194" t="s">
        <v>208</v>
      </c>
      <c r="K12" s="193" t="s">
        <v>75</v>
      </c>
      <c r="L12" s="194" t="s">
        <v>209</v>
      </c>
      <c r="M12" s="194" t="s">
        <v>210</v>
      </c>
      <c r="N12" s="194" t="s">
        <v>211</v>
      </c>
      <c r="O12"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'ABDD11' AND  SITE_KEY = (SELECT SKEY FROM CAT_SITE WHERE CODE = 'LQN')),'SYSTEM',NOW_GMT());</v>
      </c>
    </row>
    <row r="13" spans="1:15" ht="120" x14ac:dyDescent="0.25">
      <c r="A13" s="14" t="s">
        <v>30</v>
      </c>
      <c r="B13" s="14" t="s">
        <v>31</v>
      </c>
      <c r="C13" s="15" t="s">
        <v>32</v>
      </c>
      <c r="D13" s="15" t="s">
        <v>264</v>
      </c>
      <c r="E13" s="15" t="s">
        <v>28</v>
      </c>
      <c r="F13" s="17" t="s">
        <v>276</v>
      </c>
      <c r="G13" s="15" t="s">
        <v>33</v>
      </c>
      <c r="H13" s="16" t="str">
        <f t="shared" si="0"/>
        <v>INSERT INTO TMS_TID_TKCO_TK (TK_CO_I, TK_I, DELETED, LAST_UPDATE_TM, LAST_UPDATE_USER_AN) VALUES ('ABDD','ABDD12','N',NOW_GMT(),'SYSTEM');</v>
      </c>
      <c r="I13" s="193" t="s">
        <v>207</v>
      </c>
      <c r="J13" s="194" t="s">
        <v>208</v>
      </c>
      <c r="K13" s="193" t="s">
        <v>75</v>
      </c>
      <c r="L13" s="194" t="s">
        <v>209</v>
      </c>
      <c r="M13" s="194" t="s">
        <v>210</v>
      </c>
      <c r="N13" s="194" t="s">
        <v>211</v>
      </c>
      <c r="O13"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'ABDD12' AND  SITE_KEY = (SELECT SKEY FROM CAT_SITE WHERE CODE = 'LQN')),'SYSTEM',NOW_GMT());</v>
      </c>
    </row>
    <row r="14" spans="1:15" ht="120" x14ac:dyDescent="0.25">
      <c r="A14" s="14" t="s">
        <v>30</v>
      </c>
      <c r="B14" s="14" t="s">
        <v>31</v>
      </c>
      <c r="C14" s="15" t="s">
        <v>32</v>
      </c>
      <c r="D14" s="15" t="s">
        <v>264</v>
      </c>
      <c r="E14" s="15" t="s">
        <v>28</v>
      </c>
      <c r="F14" s="17" t="s">
        <v>277</v>
      </c>
      <c r="G14" s="15" t="s">
        <v>33</v>
      </c>
      <c r="H14" s="16" t="str">
        <f t="shared" si="0"/>
        <v>INSERT INTO TMS_TID_TKCO_TK (TK_CO_I, TK_I, DELETED, LAST_UPDATE_TM, LAST_UPDATE_USER_AN) VALUES ('ABDD','ABDD13','N',NOW_GMT(),'SYSTEM');</v>
      </c>
      <c r="I14" s="193" t="s">
        <v>207</v>
      </c>
      <c r="J14" s="194" t="s">
        <v>208</v>
      </c>
      <c r="K14" s="193" t="s">
        <v>75</v>
      </c>
      <c r="L14" s="194" t="s">
        <v>209</v>
      </c>
      <c r="M14" s="194" t="s">
        <v>210</v>
      </c>
      <c r="N14" s="194" t="s">
        <v>211</v>
      </c>
      <c r="O14"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'ABDD13' AND  SITE_KEY = (SELECT SKEY FROM CAT_SITE WHERE CODE = 'LQN')),'SYSTEM',NOW_GMT());</v>
      </c>
    </row>
    <row r="15" spans="1:15" ht="120" x14ac:dyDescent="0.25">
      <c r="A15" s="14" t="s">
        <v>30</v>
      </c>
      <c r="B15" s="14" t="s">
        <v>31</v>
      </c>
      <c r="C15" s="15" t="s">
        <v>32</v>
      </c>
      <c r="D15" s="15" t="s">
        <v>264</v>
      </c>
      <c r="E15" s="15" t="s">
        <v>28</v>
      </c>
      <c r="F15" s="17" t="s">
        <v>278</v>
      </c>
      <c r="G15" s="15" t="s">
        <v>33</v>
      </c>
      <c r="H15" s="16" t="str">
        <f t="shared" si="0"/>
        <v>INSERT INTO TMS_TID_TKCO_TK (TK_CO_I, TK_I, DELETED, LAST_UPDATE_TM, LAST_UPDATE_USER_AN) VALUES ('ABDD','ABDD14','N',NOW_GMT(),'SYSTEM');</v>
      </c>
      <c r="I15" s="193" t="s">
        <v>207</v>
      </c>
      <c r="J15" s="194" t="s">
        <v>208</v>
      </c>
      <c r="K15" s="193" t="s">
        <v>75</v>
      </c>
      <c r="L15" s="194" t="s">
        <v>209</v>
      </c>
      <c r="M15" s="194" t="s">
        <v>210</v>
      </c>
      <c r="N15" s="194" t="s">
        <v>211</v>
      </c>
      <c r="O15"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'ABDD14' AND  SITE_KEY = (SELECT SKEY FROM CAT_SITE WHERE CODE = 'LQN')),'SYSTEM',NOW_GMT());</v>
      </c>
    </row>
    <row r="16" spans="1:15" ht="120" x14ac:dyDescent="0.25">
      <c r="A16" s="14" t="s">
        <v>30</v>
      </c>
      <c r="B16" s="14" t="s">
        <v>31</v>
      </c>
      <c r="C16" s="15" t="s">
        <v>32</v>
      </c>
      <c r="D16" s="15" t="s">
        <v>264</v>
      </c>
      <c r="E16" s="15" t="s">
        <v>28</v>
      </c>
      <c r="F16" s="17" t="s">
        <v>279</v>
      </c>
      <c r="G16" s="15" t="s">
        <v>33</v>
      </c>
      <c r="H16" s="16" t="str">
        <f t="shared" si="0"/>
        <v>INSERT INTO TMS_TID_TKCO_TK (TK_CO_I, TK_I, DELETED, LAST_UPDATE_TM, LAST_UPDATE_USER_AN) VALUES ('ABDD','ABDD15','N',NOW_GMT(),'SYSTEM');</v>
      </c>
      <c r="I16" s="193" t="s">
        <v>207</v>
      </c>
      <c r="J16" s="194" t="s">
        <v>208</v>
      </c>
      <c r="K16" s="193" t="s">
        <v>75</v>
      </c>
      <c r="L16" s="194" t="s">
        <v>209</v>
      </c>
      <c r="M16" s="194" t="s">
        <v>210</v>
      </c>
      <c r="N16" s="194" t="s">
        <v>211</v>
      </c>
      <c r="O16"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'ABDD15' AND  SITE_KEY = (SELECT SKEY FROM CAT_SITE WHERE CODE = 'LQN')),'SYSTEM',NOW_GMT());</v>
      </c>
    </row>
    <row r="17" spans="1:15" ht="120" x14ac:dyDescent="0.25">
      <c r="A17" s="14" t="s">
        <v>30</v>
      </c>
      <c r="B17" s="14" t="s">
        <v>31</v>
      </c>
      <c r="C17" s="15" t="s">
        <v>32</v>
      </c>
      <c r="D17" s="15" t="s">
        <v>264</v>
      </c>
      <c r="E17" s="15" t="s">
        <v>28</v>
      </c>
      <c r="F17" s="17" t="s">
        <v>280</v>
      </c>
      <c r="G17" s="15" t="s">
        <v>33</v>
      </c>
      <c r="H17" s="16" t="str">
        <f t="shared" si="0"/>
        <v>INSERT INTO TMS_TID_TKCO_TK (TK_CO_I, TK_I, DELETED, LAST_UPDATE_TM, LAST_UPDATE_USER_AN) VALUES ('ABDD','ABDD16','N',NOW_GMT(),'SYSTEM');</v>
      </c>
      <c r="I17" s="193" t="s">
        <v>207</v>
      </c>
      <c r="J17" s="194" t="s">
        <v>208</v>
      </c>
      <c r="K17" s="193" t="s">
        <v>75</v>
      </c>
      <c r="L17" s="194" t="s">
        <v>209</v>
      </c>
      <c r="M17" s="194" t="s">
        <v>210</v>
      </c>
      <c r="N17" s="194" t="s">
        <v>211</v>
      </c>
      <c r="O17"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'ABDD16' AND  SITE_KEY = (SELECT SKEY FROM CAT_SITE WHERE CODE = 'LQN')),'SYSTEM',NOW_GMT());</v>
      </c>
    </row>
    <row r="18" spans="1:15" ht="120" x14ac:dyDescent="0.25">
      <c r="A18" s="14" t="s">
        <v>30</v>
      </c>
      <c r="B18" s="14" t="s">
        <v>31</v>
      </c>
      <c r="C18" s="15" t="s">
        <v>32</v>
      </c>
      <c r="D18" s="15" t="s">
        <v>264</v>
      </c>
      <c r="E18" s="15" t="s">
        <v>28</v>
      </c>
      <c r="F18" s="17" t="s">
        <v>281</v>
      </c>
      <c r="G18" s="15" t="s">
        <v>33</v>
      </c>
      <c r="H18" s="16" t="str">
        <f t="shared" si="0"/>
        <v>INSERT INTO TMS_TID_TKCO_TK (TK_CO_I, TK_I, DELETED, LAST_UPDATE_TM, LAST_UPDATE_USER_AN) VALUES ('ABDD','ABDD17','N',NOW_GMT(),'SYSTEM');</v>
      </c>
      <c r="I18" s="193" t="s">
        <v>207</v>
      </c>
      <c r="J18" s="194" t="s">
        <v>208</v>
      </c>
      <c r="K18" s="193" t="s">
        <v>75</v>
      </c>
      <c r="L18" s="194" t="s">
        <v>209</v>
      </c>
      <c r="M18" s="194" t="s">
        <v>210</v>
      </c>
      <c r="N18" s="194" t="s">
        <v>211</v>
      </c>
      <c r="O18"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'ABDD17' AND  SITE_KEY = (SELECT SKEY FROM CAT_SITE WHERE CODE = 'LQN')),'SYSTEM',NOW_GMT());</v>
      </c>
    </row>
    <row r="19" spans="1:15" ht="120" x14ac:dyDescent="0.25">
      <c r="A19" s="14" t="s">
        <v>30</v>
      </c>
      <c r="B19" s="14" t="s">
        <v>31</v>
      </c>
      <c r="C19" s="15" t="s">
        <v>32</v>
      </c>
      <c r="D19" s="15" t="s">
        <v>264</v>
      </c>
      <c r="E19" s="15" t="s">
        <v>28</v>
      </c>
      <c r="F19" s="17" t="s">
        <v>282</v>
      </c>
      <c r="G19" s="15" t="s">
        <v>33</v>
      </c>
      <c r="H19" s="16" t="str">
        <f t="shared" si="0"/>
        <v>INSERT INTO TMS_TID_TKCO_TK (TK_CO_I, TK_I, DELETED, LAST_UPDATE_TM, LAST_UPDATE_USER_AN) VALUES ('ABDD','ABDD18','N',NOW_GMT(),'SYSTEM');</v>
      </c>
      <c r="I19" s="193" t="s">
        <v>207</v>
      </c>
      <c r="J19" s="194" t="s">
        <v>208</v>
      </c>
      <c r="K19" s="193" t="s">
        <v>75</v>
      </c>
      <c r="L19" s="194" t="s">
        <v>209</v>
      </c>
      <c r="M19" s="194" t="s">
        <v>210</v>
      </c>
      <c r="N19" s="194" t="s">
        <v>211</v>
      </c>
      <c r="O19"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'ABDD18' AND  SITE_KEY = (SELECT SKEY FROM CAT_SITE WHERE CODE = 'LQN')),'SYSTEM',NOW_GMT());</v>
      </c>
    </row>
    <row r="20" spans="1:15" ht="120" x14ac:dyDescent="0.25">
      <c r="A20" s="14" t="s">
        <v>30</v>
      </c>
      <c r="B20" s="14" t="s">
        <v>31</v>
      </c>
      <c r="C20" s="15" t="s">
        <v>32</v>
      </c>
      <c r="D20" s="15" t="s">
        <v>264</v>
      </c>
      <c r="E20" s="15" t="s">
        <v>28</v>
      </c>
      <c r="F20" s="17" t="s">
        <v>283</v>
      </c>
      <c r="G20" s="15" t="s">
        <v>33</v>
      </c>
      <c r="H20" s="16" t="str">
        <f t="shared" si="0"/>
        <v>INSERT INTO TMS_TID_TKCO_TK (TK_CO_I, TK_I, DELETED, LAST_UPDATE_TM, LAST_UPDATE_USER_AN) VALUES ('ABDD','ABDD19','N',NOW_GMT(),'SYSTEM');</v>
      </c>
      <c r="I20" s="193" t="s">
        <v>207</v>
      </c>
      <c r="J20" s="194" t="s">
        <v>208</v>
      </c>
      <c r="K20" s="193" t="s">
        <v>75</v>
      </c>
      <c r="L20" s="194" t="s">
        <v>209</v>
      </c>
      <c r="M20" s="194" t="s">
        <v>210</v>
      </c>
      <c r="N20" s="194" t="s">
        <v>211</v>
      </c>
      <c r="O20"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'ABDD19' AND  SITE_KEY = (SELECT SKEY FROM CAT_SITE WHERE CODE = 'LQN')),'SYSTEM',NOW_GMT());</v>
      </c>
    </row>
    <row r="21" spans="1:15" ht="120" x14ac:dyDescent="0.25">
      <c r="A21" s="14" t="s">
        <v>30</v>
      </c>
      <c r="B21" s="14" t="s">
        <v>31</v>
      </c>
      <c r="C21" s="15" t="s">
        <v>32</v>
      </c>
      <c r="D21" s="15" t="s">
        <v>264</v>
      </c>
      <c r="E21" s="15" t="s">
        <v>28</v>
      </c>
      <c r="F21" s="17" t="s">
        <v>284</v>
      </c>
      <c r="G21" s="15" t="s">
        <v>33</v>
      </c>
      <c r="H21" s="16" t="str">
        <f t="shared" si="0"/>
        <v>INSERT INTO TMS_TID_TKCO_TK (TK_CO_I, TK_I, DELETED, LAST_UPDATE_TM, LAST_UPDATE_USER_AN) VALUES ('ABDD','ABDD20','N',NOW_GMT(),'SYSTEM');</v>
      </c>
      <c r="I21" s="193" t="s">
        <v>207</v>
      </c>
      <c r="J21" s="194" t="s">
        <v>208</v>
      </c>
      <c r="K21" s="193" t="s">
        <v>75</v>
      </c>
      <c r="L21" s="194" t="s">
        <v>209</v>
      </c>
      <c r="M21" s="194" t="s">
        <v>210</v>
      </c>
      <c r="N21" s="194" t="s">
        <v>211</v>
      </c>
      <c r="O21" s="193" t="str">
        <f t="shared" si="1"/>
        <v>INSERT INTO TOS_TRUCK_COMPANY_TRACTOR(SKEY,TRUCK_COMPANY_KEY,TRACTOR_KEY,CREATE_BY,CREATE_TIME) values (NEXTVAL('ZARA_SEQUENCE'),(SELECT SKEY FROM TOS_TRUCK_COMPANY WHERE BIZ_UNIT_KEY = (SELECT SKEY FROM CAT_BIZ_UNIT WHERE BIZ_TYPE_CODE = 'TRUCKING_COMPANY' AND CODE = 'ABDD' AND  SITE_KEY = (SELECT SKEY FROM CAT_SITE WHERE CODE = 'LQN'))),(SELECT SKEY FROM TOS_TRACTOR WHERE TRACTOR_ID = 'ABDD20' AND  SITE_KEY = (SELECT SKEY FROM CAT_SITE WHERE CODE = 'LQN')),'SYSTEM',NOW_GMT());</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21"/>
  <sheetViews>
    <sheetView zoomScale="70" zoomScaleNormal="70" workbookViewId="0">
      <selection activeCell="M3" sqref="M3"/>
    </sheetView>
  </sheetViews>
  <sheetFormatPr defaultRowHeight="15" x14ac:dyDescent="0.25"/>
  <cols>
    <col min="1" max="1" width="59.140625" style="10" customWidth="1"/>
    <col min="2" max="2" width="13.85546875" style="10" customWidth="1"/>
    <col min="3" max="3" width="3.5703125" style="10" customWidth="1"/>
    <col min="4" max="4" width="13.85546875" style="10" customWidth="1"/>
    <col min="5" max="5" width="3.5703125" style="10" customWidth="1"/>
    <col min="6" max="6" width="13.85546875" style="10" customWidth="1"/>
    <col min="7" max="7" width="24.85546875" style="10" customWidth="1"/>
    <col min="8" max="8" width="74.7109375" style="10" customWidth="1"/>
    <col min="9" max="9" width="62" style="10" customWidth="1"/>
    <col min="10" max="12" width="21.140625" style="10" customWidth="1"/>
    <col min="13" max="13" width="61.5703125" style="10" customWidth="1"/>
    <col min="14" max="16384" width="9.140625" style="10"/>
  </cols>
  <sheetData>
    <row r="1" spans="1:16" ht="37.5" x14ac:dyDescent="0.3">
      <c r="A1" s="19"/>
      <c r="B1" s="7" t="s">
        <v>19</v>
      </c>
      <c r="C1" s="6"/>
      <c r="D1" s="6" t="s">
        <v>22</v>
      </c>
      <c r="E1" s="6"/>
      <c r="F1" s="6" t="s">
        <v>23</v>
      </c>
      <c r="G1" s="5"/>
      <c r="H1" s="6" t="s">
        <v>233</v>
      </c>
      <c r="I1" s="6"/>
      <c r="J1" s="6"/>
      <c r="K1" s="6"/>
      <c r="L1" s="195"/>
      <c r="M1" s="6" t="s">
        <v>194</v>
      </c>
      <c r="N1" s="20"/>
      <c r="O1" s="20"/>
      <c r="P1" s="20"/>
    </row>
    <row r="2" spans="1:16" ht="123" customHeight="1" x14ac:dyDescent="0.25">
      <c r="A2" s="10" t="s">
        <v>34</v>
      </c>
      <c r="B2" s="21" t="s">
        <v>264</v>
      </c>
      <c r="C2" s="11" t="s">
        <v>28</v>
      </c>
      <c r="D2" s="21" t="s">
        <v>265</v>
      </c>
      <c r="E2" s="11" t="s">
        <v>28</v>
      </c>
      <c r="F2" s="21" t="s">
        <v>265</v>
      </c>
      <c r="G2" s="11" t="s">
        <v>35</v>
      </c>
      <c r="H2" s="10" t="str">
        <f>CONCATENATE(A2,B2,C2,D2,E2,F2,G2)</f>
        <v>INSERT INTO TMS_TID_DRVR (TK_CO_I, ID_CARD_I, DRVR_N, LST_UPDT_D, PARTNER_TX_D, DELETED, LAST_UPDATE_USER_AN) VALUES ('ABDD','ABDD1','ABDD1',NOW_GMT(), NOW_GMT(), 'N', 'SYSTEM');</v>
      </c>
      <c r="I2" s="10" t="s">
        <v>212</v>
      </c>
      <c r="J2" s="11" t="s">
        <v>206</v>
      </c>
      <c r="K2" s="11" t="s">
        <v>75</v>
      </c>
      <c r="L2" s="11" t="s">
        <v>213</v>
      </c>
      <c r="M2" s="193" t="str">
        <f>CONCATENATE(I2,D2,E2,F2,J2,K2,L2)</f>
        <v>INSERT INTO TOS_DRIVER( DRIVER_ID,NAME,SKEY,SITE_KEY,CREATE_BY,CREATE_TIME) values ('ABDD1','ABDD1',NEXTVAL('ZARA_SEQUENCE'),(SELECT SKEY FROM CAT_SITE WHERE CODE = 'LQN'),'SYSTEM',NOW_GMT());</v>
      </c>
    </row>
    <row r="3" spans="1:16" ht="152.25" customHeight="1" x14ac:dyDescent="0.25">
      <c r="A3" s="10" t="s">
        <v>34</v>
      </c>
      <c r="B3" s="21" t="s">
        <v>264</v>
      </c>
      <c r="C3" s="11" t="s">
        <v>28</v>
      </c>
      <c r="D3" s="10" t="s">
        <v>266</v>
      </c>
      <c r="E3" s="11" t="s">
        <v>28</v>
      </c>
      <c r="F3" s="10" t="s">
        <v>266</v>
      </c>
      <c r="G3" s="11" t="s">
        <v>35</v>
      </c>
      <c r="H3" s="10" t="str">
        <f t="shared" ref="H3:H21" si="0">CONCATENATE(A3,B3,C3,D3,E3,F3,G3)</f>
        <v>INSERT INTO TMS_TID_DRVR (TK_CO_I, ID_CARD_I, DRVR_N, LST_UPDT_D, PARTNER_TX_D, DELETED, LAST_UPDATE_USER_AN) VALUES ('ABDD','ABDD2','ABDD2',NOW_GMT(), NOW_GMT(), 'N', 'SYSTEM');</v>
      </c>
      <c r="I3" s="10" t="s">
        <v>212</v>
      </c>
      <c r="J3" s="11" t="s">
        <v>206</v>
      </c>
      <c r="K3" s="11" t="s">
        <v>75</v>
      </c>
      <c r="L3" s="11" t="s">
        <v>213</v>
      </c>
      <c r="M3" s="193" t="str">
        <f t="shared" ref="M3:M21" si="1">CONCATENATE(I3,D3,E3,F3,J3,K3,L3)</f>
        <v>INSERT INTO TOS_DRIVER( DRIVER_ID,NAME,SKEY,SITE_KEY,CREATE_BY,CREATE_TIME) values ('ABDD2','ABDD2',NEXTVAL('ZARA_SEQUENCE'),(SELECT SKEY FROM CAT_SITE WHERE CODE = 'LQN'),'SYSTEM',NOW_GMT());</v>
      </c>
    </row>
    <row r="4" spans="1:16" ht="60" x14ac:dyDescent="0.25">
      <c r="A4" s="10" t="s">
        <v>34</v>
      </c>
      <c r="B4" s="21" t="s">
        <v>264</v>
      </c>
      <c r="C4" s="11" t="s">
        <v>28</v>
      </c>
      <c r="D4" s="10" t="s">
        <v>267</v>
      </c>
      <c r="E4" s="11" t="s">
        <v>28</v>
      </c>
      <c r="F4" s="10" t="s">
        <v>267</v>
      </c>
      <c r="G4" s="11" t="s">
        <v>35</v>
      </c>
      <c r="H4" s="10" t="str">
        <f t="shared" si="0"/>
        <v>INSERT INTO TMS_TID_DRVR (TK_CO_I, ID_CARD_I, DRVR_N, LST_UPDT_D, PARTNER_TX_D, DELETED, LAST_UPDATE_USER_AN) VALUES ('ABDD','ABDD3','ABDD3',NOW_GMT(), NOW_GMT(), 'N', 'SYSTEM');</v>
      </c>
      <c r="I4" s="10" t="s">
        <v>212</v>
      </c>
      <c r="J4" s="11" t="s">
        <v>206</v>
      </c>
      <c r="K4" s="11" t="s">
        <v>75</v>
      </c>
      <c r="L4" s="11" t="s">
        <v>213</v>
      </c>
      <c r="M4" s="193" t="str">
        <f t="shared" si="1"/>
        <v>INSERT INTO TOS_DRIVER( DRIVER_ID,NAME,SKEY,SITE_KEY,CREATE_BY,CREATE_TIME) values ('ABDD3','ABDD3',NEXTVAL('ZARA_SEQUENCE'),(SELECT SKEY FROM CAT_SITE WHERE CODE = 'LQN'),'SYSTEM',NOW_GMT());</v>
      </c>
    </row>
    <row r="5" spans="1:16" ht="60" x14ac:dyDescent="0.25">
      <c r="A5" s="10" t="s">
        <v>34</v>
      </c>
      <c r="B5" s="21" t="s">
        <v>264</v>
      </c>
      <c r="C5" s="11" t="s">
        <v>28</v>
      </c>
      <c r="D5" s="10" t="s">
        <v>268</v>
      </c>
      <c r="E5" s="11" t="s">
        <v>28</v>
      </c>
      <c r="F5" s="10" t="s">
        <v>268</v>
      </c>
      <c r="G5" s="11" t="s">
        <v>35</v>
      </c>
      <c r="H5" s="10" t="str">
        <f t="shared" si="0"/>
        <v>INSERT INTO TMS_TID_DRVR (TK_CO_I, ID_CARD_I, DRVR_N, LST_UPDT_D, PARTNER_TX_D, DELETED, LAST_UPDATE_USER_AN) VALUES ('ABDD','ABDD4','ABDD4',NOW_GMT(), NOW_GMT(), 'N', 'SYSTEM');</v>
      </c>
      <c r="I5" s="10" t="s">
        <v>212</v>
      </c>
      <c r="J5" s="11" t="s">
        <v>206</v>
      </c>
      <c r="K5" s="11" t="s">
        <v>75</v>
      </c>
      <c r="L5" s="11" t="s">
        <v>213</v>
      </c>
      <c r="M5" s="193" t="str">
        <f t="shared" si="1"/>
        <v>INSERT INTO TOS_DRIVER( DRIVER_ID,NAME,SKEY,SITE_KEY,CREATE_BY,CREATE_TIME) values ('ABDD4','ABDD4',NEXTVAL('ZARA_SEQUENCE'),(SELECT SKEY FROM CAT_SITE WHERE CODE = 'LQN'),'SYSTEM',NOW_GMT());</v>
      </c>
    </row>
    <row r="6" spans="1:16" ht="60" x14ac:dyDescent="0.25">
      <c r="A6" s="10" t="s">
        <v>34</v>
      </c>
      <c r="B6" s="21" t="s">
        <v>264</v>
      </c>
      <c r="C6" s="11" t="s">
        <v>28</v>
      </c>
      <c r="D6" s="10" t="s">
        <v>269</v>
      </c>
      <c r="E6" s="11" t="s">
        <v>28</v>
      </c>
      <c r="F6" s="10" t="s">
        <v>269</v>
      </c>
      <c r="G6" s="11" t="s">
        <v>35</v>
      </c>
      <c r="H6" s="10" t="str">
        <f t="shared" si="0"/>
        <v>INSERT INTO TMS_TID_DRVR (TK_CO_I, ID_CARD_I, DRVR_N, LST_UPDT_D, PARTNER_TX_D, DELETED, LAST_UPDATE_USER_AN) VALUES ('ABDD','ABDD5','ABDD5',NOW_GMT(), NOW_GMT(), 'N', 'SYSTEM');</v>
      </c>
      <c r="I6" s="10" t="s">
        <v>212</v>
      </c>
      <c r="J6" s="11" t="s">
        <v>206</v>
      </c>
      <c r="K6" s="11" t="s">
        <v>75</v>
      </c>
      <c r="L6" s="11" t="s">
        <v>213</v>
      </c>
      <c r="M6" s="193" t="str">
        <f t="shared" si="1"/>
        <v>INSERT INTO TOS_DRIVER( DRIVER_ID,NAME,SKEY,SITE_KEY,CREATE_BY,CREATE_TIME) values ('ABDD5','ABDD5',NEXTVAL('ZARA_SEQUENCE'),(SELECT SKEY FROM CAT_SITE WHERE CODE = 'LQN'),'SYSTEM',NOW_GMT());</v>
      </c>
    </row>
    <row r="7" spans="1:16" ht="60" x14ac:dyDescent="0.25">
      <c r="A7" s="10" t="s">
        <v>34</v>
      </c>
      <c r="B7" s="21" t="s">
        <v>264</v>
      </c>
      <c r="C7" s="11" t="s">
        <v>28</v>
      </c>
      <c r="D7" s="10" t="s">
        <v>270</v>
      </c>
      <c r="E7" s="11" t="s">
        <v>28</v>
      </c>
      <c r="F7" s="10" t="s">
        <v>270</v>
      </c>
      <c r="G7" s="11" t="s">
        <v>35</v>
      </c>
      <c r="H7" s="10" t="str">
        <f t="shared" si="0"/>
        <v>INSERT INTO TMS_TID_DRVR (TK_CO_I, ID_CARD_I, DRVR_N, LST_UPDT_D, PARTNER_TX_D, DELETED, LAST_UPDATE_USER_AN) VALUES ('ABDD','ABDD6','ABDD6',NOW_GMT(), NOW_GMT(), 'N', 'SYSTEM');</v>
      </c>
      <c r="I7" s="10" t="s">
        <v>212</v>
      </c>
      <c r="J7" s="11" t="s">
        <v>206</v>
      </c>
      <c r="K7" s="11" t="s">
        <v>75</v>
      </c>
      <c r="L7" s="11" t="s">
        <v>213</v>
      </c>
      <c r="M7" s="193" t="str">
        <f t="shared" si="1"/>
        <v>INSERT INTO TOS_DRIVER( DRIVER_ID,NAME,SKEY,SITE_KEY,CREATE_BY,CREATE_TIME) values ('ABDD6','ABDD6',NEXTVAL('ZARA_SEQUENCE'),(SELECT SKEY FROM CAT_SITE WHERE CODE = 'LQN'),'SYSTEM',NOW_GMT());</v>
      </c>
    </row>
    <row r="8" spans="1:16" ht="60" x14ac:dyDescent="0.25">
      <c r="A8" s="10" t="s">
        <v>34</v>
      </c>
      <c r="B8" s="21" t="s">
        <v>264</v>
      </c>
      <c r="C8" s="11" t="s">
        <v>28</v>
      </c>
      <c r="D8" s="10" t="s">
        <v>271</v>
      </c>
      <c r="E8" s="11" t="s">
        <v>28</v>
      </c>
      <c r="F8" s="10" t="s">
        <v>271</v>
      </c>
      <c r="G8" s="11" t="s">
        <v>35</v>
      </c>
      <c r="H8" s="10" t="str">
        <f t="shared" si="0"/>
        <v>INSERT INTO TMS_TID_DRVR (TK_CO_I, ID_CARD_I, DRVR_N, LST_UPDT_D, PARTNER_TX_D, DELETED, LAST_UPDATE_USER_AN) VALUES ('ABDD','ABDD7','ABDD7',NOW_GMT(), NOW_GMT(), 'N', 'SYSTEM');</v>
      </c>
      <c r="I8" s="10" t="s">
        <v>212</v>
      </c>
      <c r="J8" s="11" t="s">
        <v>206</v>
      </c>
      <c r="K8" s="11" t="s">
        <v>75</v>
      </c>
      <c r="L8" s="11" t="s">
        <v>213</v>
      </c>
      <c r="M8" s="193" t="str">
        <f t="shared" si="1"/>
        <v>INSERT INTO TOS_DRIVER( DRIVER_ID,NAME,SKEY,SITE_KEY,CREATE_BY,CREATE_TIME) values ('ABDD7','ABDD7',NEXTVAL('ZARA_SEQUENCE'),(SELECT SKEY FROM CAT_SITE WHERE CODE = 'LQN'),'SYSTEM',NOW_GMT());</v>
      </c>
    </row>
    <row r="9" spans="1:16" ht="60" x14ac:dyDescent="0.25">
      <c r="A9" s="10" t="s">
        <v>34</v>
      </c>
      <c r="B9" s="21" t="s">
        <v>264</v>
      </c>
      <c r="C9" s="11" t="s">
        <v>28</v>
      </c>
      <c r="D9" s="10" t="s">
        <v>272</v>
      </c>
      <c r="E9" s="11" t="s">
        <v>28</v>
      </c>
      <c r="F9" s="10" t="s">
        <v>272</v>
      </c>
      <c r="G9" s="11" t="s">
        <v>35</v>
      </c>
      <c r="H9" s="10" t="str">
        <f t="shared" si="0"/>
        <v>INSERT INTO TMS_TID_DRVR (TK_CO_I, ID_CARD_I, DRVR_N, LST_UPDT_D, PARTNER_TX_D, DELETED, LAST_UPDATE_USER_AN) VALUES ('ABDD','ABDD8','ABDD8',NOW_GMT(), NOW_GMT(), 'N', 'SYSTEM');</v>
      </c>
      <c r="I9" s="10" t="s">
        <v>212</v>
      </c>
      <c r="J9" s="11" t="s">
        <v>206</v>
      </c>
      <c r="K9" s="11" t="s">
        <v>75</v>
      </c>
      <c r="L9" s="11" t="s">
        <v>213</v>
      </c>
      <c r="M9" s="193" t="str">
        <f t="shared" si="1"/>
        <v>INSERT INTO TOS_DRIVER( DRIVER_ID,NAME,SKEY,SITE_KEY,CREATE_BY,CREATE_TIME) values ('ABDD8','ABDD8',NEXTVAL('ZARA_SEQUENCE'),(SELECT SKEY FROM CAT_SITE WHERE CODE = 'LQN'),'SYSTEM',NOW_GMT());</v>
      </c>
    </row>
    <row r="10" spans="1:16" ht="60" x14ac:dyDescent="0.25">
      <c r="A10" s="10" t="s">
        <v>34</v>
      </c>
      <c r="B10" s="21" t="s">
        <v>264</v>
      </c>
      <c r="C10" s="11" t="s">
        <v>28</v>
      </c>
      <c r="D10" s="10" t="s">
        <v>273</v>
      </c>
      <c r="E10" s="11" t="s">
        <v>28</v>
      </c>
      <c r="F10" s="10" t="s">
        <v>273</v>
      </c>
      <c r="G10" s="11" t="s">
        <v>35</v>
      </c>
      <c r="H10" s="10" t="str">
        <f t="shared" si="0"/>
        <v>INSERT INTO TMS_TID_DRVR (TK_CO_I, ID_CARD_I, DRVR_N, LST_UPDT_D, PARTNER_TX_D, DELETED, LAST_UPDATE_USER_AN) VALUES ('ABDD','ABDD9','ABDD9',NOW_GMT(), NOW_GMT(), 'N', 'SYSTEM');</v>
      </c>
      <c r="I10" s="10" t="s">
        <v>212</v>
      </c>
      <c r="J10" s="11" t="s">
        <v>206</v>
      </c>
      <c r="K10" s="11" t="s">
        <v>75</v>
      </c>
      <c r="L10" s="11" t="s">
        <v>213</v>
      </c>
      <c r="M10" s="193" t="str">
        <f t="shared" si="1"/>
        <v>INSERT INTO TOS_DRIVER( DRIVER_ID,NAME,SKEY,SITE_KEY,CREATE_BY,CREATE_TIME) values ('ABDD9','ABDD9',NEXTVAL('ZARA_SEQUENCE'),(SELECT SKEY FROM CAT_SITE WHERE CODE = 'LQN'),'SYSTEM',NOW_GMT());</v>
      </c>
    </row>
    <row r="11" spans="1:16" ht="60" x14ac:dyDescent="0.25">
      <c r="A11" s="10" t="s">
        <v>34</v>
      </c>
      <c r="B11" s="21" t="s">
        <v>264</v>
      </c>
      <c r="C11" s="11" t="s">
        <v>28</v>
      </c>
      <c r="D11" s="10" t="s">
        <v>274</v>
      </c>
      <c r="E11" s="11" t="s">
        <v>28</v>
      </c>
      <c r="F11" s="10" t="s">
        <v>274</v>
      </c>
      <c r="G11" s="11" t="s">
        <v>35</v>
      </c>
      <c r="H11" s="10" t="str">
        <f t="shared" si="0"/>
        <v>INSERT INTO TMS_TID_DRVR (TK_CO_I, ID_CARD_I, DRVR_N, LST_UPDT_D, PARTNER_TX_D, DELETED, LAST_UPDATE_USER_AN) VALUES ('ABDD','ABDD10','ABDD10',NOW_GMT(), NOW_GMT(), 'N', 'SYSTEM');</v>
      </c>
      <c r="I11" s="10" t="s">
        <v>212</v>
      </c>
      <c r="J11" s="11" t="s">
        <v>206</v>
      </c>
      <c r="K11" s="11" t="s">
        <v>75</v>
      </c>
      <c r="L11" s="11" t="s">
        <v>213</v>
      </c>
      <c r="M11" s="193" t="str">
        <f t="shared" si="1"/>
        <v>INSERT INTO TOS_DRIVER( DRIVER_ID,NAME,SKEY,SITE_KEY,CREATE_BY,CREATE_TIME) values ('ABDD10','ABDD10',NEXTVAL('ZARA_SEQUENCE'),(SELECT SKEY FROM CAT_SITE WHERE CODE = 'LQN'),'SYSTEM',NOW_GMT());</v>
      </c>
    </row>
    <row r="12" spans="1:16" ht="60" x14ac:dyDescent="0.25">
      <c r="A12" s="10" t="s">
        <v>34</v>
      </c>
      <c r="B12" s="21" t="s">
        <v>264</v>
      </c>
      <c r="C12" s="11" t="s">
        <v>28</v>
      </c>
      <c r="D12" s="10" t="s">
        <v>275</v>
      </c>
      <c r="E12" s="11" t="s">
        <v>28</v>
      </c>
      <c r="F12" s="10" t="s">
        <v>275</v>
      </c>
      <c r="G12" s="11" t="s">
        <v>35</v>
      </c>
      <c r="H12" s="10" t="str">
        <f t="shared" si="0"/>
        <v>INSERT INTO TMS_TID_DRVR (TK_CO_I, ID_CARD_I, DRVR_N, LST_UPDT_D, PARTNER_TX_D, DELETED, LAST_UPDATE_USER_AN) VALUES ('ABDD','ABDD11','ABDD11',NOW_GMT(), NOW_GMT(), 'N', 'SYSTEM');</v>
      </c>
      <c r="I12" s="10" t="s">
        <v>212</v>
      </c>
      <c r="J12" s="11" t="s">
        <v>206</v>
      </c>
      <c r="K12" s="11" t="s">
        <v>75</v>
      </c>
      <c r="L12" s="11" t="s">
        <v>213</v>
      </c>
      <c r="M12" s="193" t="str">
        <f t="shared" si="1"/>
        <v>INSERT INTO TOS_DRIVER( DRIVER_ID,NAME,SKEY,SITE_KEY,CREATE_BY,CREATE_TIME) values ('ABDD11','ABDD11',NEXTVAL('ZARA_SEQUENCE'),(SELECT SKEY FROM CAT_SITE WHERE CODE = 'LQN'),'SYSTEM',NOW_GMT());</v>
      </c>
    </row>
    <row r="13" spans="1:16" ht="60" x14ac:dyDescent="0.25">
      <c r="A13" s="10" t="s">
        <v>34</v>
      </c>
      <c r="B13" s="21" t="s">
        <v>264</v>
      </c>
      <c r="C13" s="11" t="s">
        <v>28</v>
      </c>
      <c r="D13" s="10" t="s">
        <v>276</v>
      </c>
      <c r="E13" s="11" t="s">
        <v>28</v>
      </c>
      <c r="F13" s="10" t="s">
        <v>276</v>
      </c>
      <c r="G13" s="11" t="s">
        <v>35</v>
      </c>
      <c r="H13" s="10" t="str">
        <f t="shared" si="0"/>
        <v>INSERT INTO TMS_TID_DRVR (TK_CO_I, ID_CARD_I, DRVR_N, LST_UPDT_D, PARTNER_TX_D, DELETED, LAST_UPDATE_USER_AN) VALUES ('ABDD','ABDD12','ABDD12',NOW_GMT(), NOW_GMT(), 'N', 'SYSTEM');</v>
      </c>
      <c r="I13" s="10" t="s">
        <v>212</v>
      </c>
      <c r="J13" s="11" t="s">
        <v>206</v>
      </c>
      <c r="K13" s="11" t="s">
        <v>75</v>
      </c>
      <c r="L13" s="11" t="s">
        <v>213</v>
      </c>
      <c r="M13" s="193" t="str">
        <f t="shared" si="1"/>
        <v>INSERT INTO TOS_DRIVER( DRIVER_ID,NAME,SKEY,SITE_KEY,CREATE_BY,CREATE_TIME) values ('ABDD12','ABDD12',NEXTVAL('ZARA_SEQUENCE'),(SELECT SKEY FROM CAT_SITE WHERE CODE = 'LQN'),'SYSTEM',NOW_GMT());</v>
      </c>
    </row>
    <row r="14" spans="1:16" ht="60" x14ac:dyDescent="0.25">
      <c r="A14" s="10" t="s">
        <v>34</v>
      </c>
      <c r="B14" s="21" t="s">
        <v>264</v>
      </c>
      <c r="C14" s="11" t="s">
        <v>28</v>
      </c>
      <c r="D14" s="10" t="s">
        <v>277</v>
      </c>
      <c r="E14" s="11" t="s">
        <v>28</v>
      </c>
      <c r="F14" s="10" t="s">
        <v>277</v>
      </c>
      <c r="G14" s="11" t="s">
        <v>35</v>
      </c>
      <c r="H14" s="10" t="str">
        <f t="shared" si="0"/>
        <v>INSERT INTO TMS_TID_DRVR (TK_CO_I, ID_CARD_I, DRVR_N, LST_UPDT_D, PARTNER_TX_D, DELETED, LAST_UPDATE_USER_AN) VALUES ('ABDD','ABDD13','ABDD13',NOW_GMT(), NOW_GMT(), 'N', 'SYSTEM');</v>
      </c>
      <c r="I14" s="10" t="s">
        <v>212</v>
      </c>
      <c r="J14" s="11" t="s">
        <v>206</v>
      </c>
      <c r="K14" s="11" t="s">
        <v>75</v>
      </c>
      <c r="L14" s="11" t="s">
        <v>213</v>
      </c>
      <c r="M14" s="193" t="str">
        <f t="shared" si="1"/>
        <v>INSERT INTO TOS_DRIVER( DRIVER_ID,NAME,SKEY,SITE_KEY,CREATE_BY,CREATE_TIME) values ('ABDD13','ABDD13',NEXTVAL('ZARA_SEQUENCE'),(SELECT SKEY FROM CAT_SITE WHERE CODE = 'LQN'),'SYSTEM',NOW_GMT());</v>
      </c>
    </row>
    <row r="15" spans="1:16" ht="60" x14ac:dyDescent="0.25">
      <c r="A15" s="10" t="s">
        <v>34</v>
      </c>
      <c r="B15" s="21" t="s">
        <v>264</v>
      </c>
      <c r="C15" s="11" t="s">
        <v>28</v>
      </c>
      <c r="D15" s="10" t="s">
        <v>278</v>
      </c>
      <c r="E15" s="11" t="s">
        <v>28</v>
      </c>
      <c r="F15" s="10" t="s">
        <v>278</v>
      </c>
      <c r="G15" s="11" t="s">
        <v>35</v>
      </c>
      <c r="H15" s="10" t="str">
        <f t="shared" si="0"/>
        <v>INSERT INTO TMS_TID_DRVR (TK_CO_I, ID_CARD_I, DRVR_N, LST_UPDT_D, PARTNER_TX_D, DELETED, LAST_UPDATE_USER_AN) VALUES ('ABDD','ABDD14','ABDD14',NOW_GMT(), NOW_GMT(), 'N', 'SYSTEM');</v>
      </c>
      <c r="I15" s="10" t="s">
        <v>212</v>
      </c>
      <c r="J15" s="11" t="s">
        <v>206</v>
      </c>
      <c r="K15" s="11" t="s">
        <v>75</v>
      </c>
      <c r="L15" s="11" t="s">
        <v>213</v>
      </c>
      <c r="M15" s="193" t="str">
        <f t="shared" si="1"/>
        <v>INSERT INTO TOS_DRIVER( DRIVER_ID,NAME,SKEY,SITE_KEY,CREATE_BY,CREATE_TIME) values ('ABDD14','ABDD14',NEXTVAL('ZARA_SEQUENCE'),(SELECT SKEY FROM CAT_SITE WHERE CODE = 'LQN'),'SYSTEM',NOW_GMT());</v>
      </c>
    </row>
    <row r="16" spans="1:16" ht="60" x14ac:dyDescent="0.25">
      <c r="A16" s="10" t="s">
        <v>34</v>
      </c>
      <c r="B16" s="21" t="s">
        <v>264</v>
      </c>
      <c r="C16" s="11" t="s">
        <v>28</v>
      </c>
      <c r="D16" s="10" t="s">
        <v>279</v>
      </c>
      <c r="E16" s="11" t="s">
        <v>28</v>
      </c>
      <c r="F16" s="10" t="s">
        <v>279</v>
      </c>
      <c r="G16" s="11" t="s">
        <v>35</v>
      </c>
      <c r="H16" s="10" t="str">
        <f t="shared" si="0"/>
        <v>INSERT INTO TMS_TID_DRVR (TK_CO_I, ID_CARD_I, DRVR_N, LST_UPDT_D, PARTNER_TX_D, DELETED, LAST_UPDATE_USER_AN) VALUES ('ABDD','ABDD15','ABDD15',NOW_GMT(), NOW_GMT(), 'N', 'SYSTEM');</v>
      </c>
      <c r="I16" s="10" t="s">
        <v>212</v>
      </c>
      <c r="J16" s="11" t="s">
        <v>206</v>
      </c>
      <c r="K16" s="11" t="s">
        <v>75</v>
      </c>
      <c r="L16" s="11" t="s">
        <v>213</v>
      </c>
      <c r="M16" s="193" t="str">
        <f t="shared" si="1"/>
        <v>INSERT INTO TOS_DRIVER( DRIVER_ID,NAME,SKEY,SITE_KEY,CREATE_BY,CREATE_TIME) values ('ABDD15','ABDD15',NEXTVAL('ZARA_SEQUENCE'),(SELECT SKEY FROM CAT_SITE WHERE CODE = 'LQN'),'SYSTEM',NOW_GMT());</v>
      </c>
    </row>
    <row r="17" spans="1:13" ht="60" x14ac:dyDescent="0.25">
      <c r="A17" s="10" t="s">
        <v>34</v>
      </c>
      <c r="B17" s="21" t="s">
        <v>264</v>
      </c>
      <c r="C17" s="11" t="s">
        <v>28</v>
      </c>
      <c r="D17" s="10" t="s">
        <v>280</v>
      </c>
      <c r="E17" s="11" t="s">
        <v>28</v>
      </c>
      <c r="F17" s="10" t="s">
        <v>280</v>
      </c>
      <c r="G17" s="11" t="s">
        <v>35</v>
      </c>
      <c r="H17" s="10" t="str">
        <f t="shared" si="0"/>
        <v>INSERT INTO TMS_TID_DRVR (TK_CO_I, ID_CARD_I, DRVR_N, LST_UPDT_D, PARTNER_TX_D, DELETED, LAST_UPDATE_USER_AN) VALUES ('ABDD','ABDD16','ABDD16',NOW_GMT(), NOW_GMT(), 'N', 'SYSTEM');</v>
      </c>
      <c r="I17" s="10" t="s">
        <v>212</v>
      </c>
      <c r="J17" s="11" t="s">
        <v>206</v>
      </c>
      <c r="K17" s="11" t="s">
        <v>75</v>
      </c>
      <c r="L17" s="11" t="s">
        <v>213</v>
      </c>
      <c r="M17" s="193" t="str">
        <f t="shared" si="1"/>
        <v>INSERT INTO TOS_DRIVER( DRIVER_ID,NAME,SKEY,SITE_KEY,CREATE_BY,CREATE_TIME) values ('ABDD16','ABDD16',NEXTVAL('ZARA_SEQUENCE'),(SELECT SKEY FROM CAT_SITE WHERE CODE = 'LQN'),'SYSTEM',NOW_GMT());</v>
      </c>
    </row>
    <row r="18" spans="1:13" ht="60" x14ac:dyDescent="0.25">
      <c r="A18" s="10" t="s">
        <v>34</v>
      </c>
      <c r="B18" s="21" t="s">
        <v>264</v>
      </c>
      <c r="C18" s="11" t="s">
        <v>28</v>
      </c>
      <c r="D18" s="10" t="s">
        <v>281</v>
      </c>
      <c r="E18" s="11" t="s">
        <v>28</v>
      </c>
      <c r="F18" s="10" t="s">
        <v>281</v>
      </c>
      <c r="G18" s="11" t="s">
        <v>35</v>
      </c>
      <c r="H18" s="10" t="str">
        <f t="shared" si="0"/>
        <v>INSERT INTO TMS_TID_DRVR (TK_CO_I, ID_CARD_I, DRVR_N, LST_UPDT_D, PARTNER_TX_D, DELETED, LAST_UPDATE_USER_AN) VALUES ('ABDD','ABDD17','ABDD17',NOW_GMT(), NOW_GMT(), 'N', 'SYSTEM');</v>
      </c>
      <c r="I18" s="10" t="s">
        <v>212</v>
      </c>
      <c r="J18" s="11" t="s">
        <v>206</v>
      </c>
      <c r="K18" s="11" t="s">
        <v>75</v>
      </c>
      <c r="L18" s="11" t="s">
        <v>213</v>
      </c>
      <c r="M18" s="193" t="str">
        <f t="shared" si="1"/>
        <v>INSERT INTO TOS_DRIVER( DRIVER_ID,NAME,SKEY,SITE_KEY,CREATE_BY,CREATE_TIME) values ('ABDD17','ABDD17',NEXTVAL('ZARA_SEQUENCE'),(SELECT SKEY FROM CAT_SITE WHERE CODE = 'LQN'),'SYSTEM',NOW_GMT());</v>
      </c>
    </row>
    <row r="19" spans="1:13" ht="60" x14ac:dyDescent="0.25">
      <c r="A19" s="10" t="s">
        <v>34</v>
      </c>
      <c r="B19" s="21" t="s">
        <v>264</v>
      </c>
      <c r="C19" s="11" t="s">
        <v>28</v>
      </c>
      <c r="D19" s="10" t="s">
        <v>282</v>
      </c>
      <c r="E19" s="11" t="s">
        <v>28</v>
      </c>
      <c r="F19" s="10" t="s">
        <v>282</v>
      </c>
      <c r="G19" s="11" t="s">
        <v>35</v>
      </c>
      <c r="H19" s="10" t="str">
        <f t="shared" si="0"/>
        <v>INSERT INTO TMS_TID_DRVR (TK_CO_I, ID_CARD_I, DRVR_N, LST_UPDT_D, PARTNER_TX_D, DELETED, LAST_UPDATE_USER_AN) VALUES ('ABDD','ABDD18','ABDD18',NOW_GMT(), NOW_GMT(), 'N', 'SYSTEM');</v>
      </c>
      <c r="I19" s="10" t="s">
        <v>212</v>
      </c>
      <c r="J19" s="11" t="s">
        <v>206</v>
      </c>
      <c r="K19" s="11" t="s">
        <v>75</v>
      </c>
      <c r="L19" s="11" t="s">
        <v>213</v>
      </c>
      <c r="M19" s="193" t="str">
        <f t="shared" si="1"/>
        <v>INSERT INTO TOS_DRIVER( DRIVER_ID,NAME,SKEY,SITE_KEY,CREATE_BY,CREATE_TIME) values ('ABDD18','ABDD18',NEXTVAL('ZARA_SEQUENCE'),(SELECT SKEY FROM CAT_SITE WHERE CODE = 'LQN'),'SYSTEM',NOW_GMT());</v>
      </c>
    </row>
    <row r="20" spans="1:13" ht="60" x14ac:dyDescent="0.25">
      <c r="A20" s="10" t="s">
        <v>34</v>
      </c>
      <c r="B20" s="21" t="s">
        <v>264</v>
      </c>
      <c r="C20" s="11" t="s">
        <v>28</v>
      </c>
      <c r="D20" s="10" t="s">
        <v>283</v>
      </c>
      <c r="E20" s="11" t="s">
        <v>28</v>
      </c>
      <c r="F20" s="10" t="s">
        <v>283</v>
      </c>
      <c r="G20" s="11" t="s">
        <v>35</v>
      </c>
      <c r="H20" s="10" t="str">
        <f t="shared" si="0"/>
        <v>INSERT INTO TMS_TID_DRVR (TK_CO_I, ID_CARD_I, DRVR_N, LST_UPDT_D, PARTNER_TX_D, DELETED, LAST_UPDATE_USER_AN) VALUES ('ABDD','ABDD19','ABDD19',NOW_GMT(), NOW_GMT(), 'N', 'SYSTEM');</v>
      </c>
      <c r="I20" s="10" t="s">
        <v>212</v>
      </c>
      <c r="J20" s="11" t="s">
        <v>206</v>
      </c>
      <c r="K20" s="11" t="s">
        <v>75</v>
      </c>
      <c r="L20" s="11" t="s">
        <v>213</v>
      </c>
      <c r="M20" s="193" t="str">
        <f t="shared" si="1"/>
        <v>INSERT INTO TOS_DRIVER( DRIVER_ID,NAME,SKEY,SITE_KEY,CREATE_BY,CREATE_TIME) values ('ABDD19','ABDD19',NEXTVAL('ZARA_SEQUENCE'),(SELECT SKEY FROM CAT_SITE WHERE CODE = 'LQN'),'SYSTEM',NOW_GMT());</v>
      </c>
    </row>
    <row r="21" spans="1:13" ht="60" x14ac:dyDescent="0.25">
      <c r="A21" s="10" t="s">
        <v>34</v>
      </c>
      <c r="B21" s="21" t="s">
        <v>264</v>
      </c>
      <c r="C21" s="11" t="s">
        <v>28</v>
      </c>
      <c r="D21" s="10" t="s">
        <v>284</v>
      </c>
      <c r="E21" s="11" t="s">
        <v>28</v>
      </c>
      <c r="F21" s="10" t="s">
        <v>284</v>
      </c>
      <c r="G21" s="11" t="s">
        <v>35</v>
      </c>
      <c r="H21" s="10" t="str">
        <f t="shared" si="0"/>
        <v>INSERT INTO TMS_TID_DRVR (TK_CO_I, ID_CARD_I, DRVR_N, LST_UPDT_D, PARTNER_TX_D, DELETED, LAST_UPDATE_USER_AN) VALUES ('ABDD','ABDD20','ABDD20',NOW_GMT(), NOW_GMT(), 'N', 'SYSTEM');</v>
      </c>
      <c r="I21" s="10" t="s">
        <v>212</v>
      </c>
      <c r="J21" s="11" t="s">
        <v>206</v>
      </c>
      <c r="K21" s="11" t="s">
        <v>75</v>
      </c>
      <c r="L21" s="11" t="s">
        <v>213</v>
      </c>
      <c r="M21" s="193" t="str">
        <f t="shared" si="1"/>
        <v>INSERT INTO TOS_DRIVER( DRIVER_ID,NAME,SKEY,SITE_KEY,CREATE_BY,CREATE_TIME) values ('ABDD20','ABDD20',NEXTVAL('ZARA_SEQUENCE'),(SELECT SKEY FROM CAT_SITE WHERE CODE = 'LQN'),'SYSTEM',NOW_GMT());</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21"/>
  <sheetViews>
    <sheetView zoomScale="70" zoomScaleNormal="70" workbookViewId="0">
      <selection activeCell="H3" sqref="H3"/>
    </sheetView>
  </sheetViews>
  <sheetFormatPr defaultRowHeight="15" x14ac:dyDescent="0.25"/>
  <cols>
    <col min="1" max="1" width="50.5703125" style="17" customWidth="1"/>
    <col min="2" max="3" width="3.7109375" style="17" customWidth="1"/>
    <col min="4" max="4" width="18" style="17" customWidth="1"/>
    <col min="5" max="5" width="3.7109375" style="17" customWidth="1"/>
    <col min="6" max="6" width="18" style="17" customWidth="1"/>
    <col min="7" max="7" width="14.42578125" style="17" customWidth="1"/>
    <col min="8" max="8" width="67.140625" style="18" customWidth="1"/>
    <col min="9" max="9" width="52.7109375" style="18" customWidth="1"/>
    <col min="10" max="10" width="19.7109375" style="18" customWidth="1"/>
    <col min="11" max="14" width="11.28515625" style="18" customWidth="1"/>
    <col min="15" max="15" width="55.140625" style="17" customWidth="1"/>
    <col min="16" max="16384" width="9.140625" style="17"/>
  </cols>
  <sheetData>
    <row r="1" spans="1:15" ht="18.75" x14ac:dyDescent="0.3">
      <c r="A1" s="12"/>
      <c r="B1" s="12"/>
      <c r="C1" s="12"/>
      <c r="D1" s="7" t="s">
        <v>19</v>
      </c>
      <c r="E1" s="7"/>
      <c r="F1" s="7" t="s">
        <v>22</v>
      </c>
      <c r="G1" s="12"/>
      <c r="H1" s="6" t="s">
        <v>233</v>
      </c>
      <c r="I1" s="6"/>
      <c r="J1" s="6"/>
      <c r="K1" s="6"/>
      <c r="L1" s="6"/>
      <c r="M1" s="6"/>
      <c r="N1" s="6"/>
      <c r="O1" s="6" t="s">
        <v>194</v>
      </c>
    </row>
    <row r="2" spans="1:15" ht="147" customHeight="1" x14ac:dyDescent="0.25">
      <c r="A2" s="17" t="s">
        <v>36</v>
      </c>
      <c r="B2" s="17" t="s">
        <v>31</v>
      </c>
      <c r="C2" s="21" t="s">
        <v>32</v>
      </c>
      <c r="D2" s="10" t="s">
        <v>264</v>
      </c>
      <c r="E2" s="21" t="s">
        <v>28</v>
      </c>
      <c r="F2" s="10" t="s">
        <v>265</v>
      </c>
      <c r="G2" s="21" t="s">
        <v>33</v>
      </c>
      <c r="H2" s="18" t="str">
        <f>CONCATENATE(A2,B2,C2,D2,E2,F2,G2)</f>
        <v>INSERT INTO TMS_TID_TKCO_DRVR (TK_CO_I, ID_CARD_I, DELETED, LAST_UPDATE_TM, LAST_UPDATE_USER_AN) VALUES ('ABDD','ABDD1','N',NOW_GMT(),'SYSTEM');</v>
      </c>
      <c r="I2" s="18" t="s">
        <v>214</v>
      </c>
      <c r="J2" s="197" t="s">
        <v>210</v>
      </c>
      <c r="K2" s="197" t="s">
        <v>75</v>
      </c>
      <c r="L2" s="197" t="s">
        <v>215</v>
      </c>
      <c r="M2" s="197" t="s">
        <v>210</v>
      </c>
      <c r="N2" s="197" t="s">
        <v>202</v>
      </c>
      <c r="O2" s="193" t="str">
        <f>CONCATENATE(I2,D2,J2,K2,L2,F2,M2,K2,N2)</f>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 AND  SITE_KEY = (SELECT SKEY FROM CAT_SITE WHERE CODE = 'LQN')));</v>
      </c>
    </row>
    <row r="3" spans="1:15" ht="165" x14ac:dyDescent="0.25">
      <c r="A3" s="17" t="s">
        <v>36</v>
      </c>
      <c r="B3" s="17" t="s">
        <v>31</v>
      </c>
      <c r="C3" s="21" t="s">
        <v>32</v>
      </c>
      <c r="D3" s="10" t="s">
        <v>264</v>
      </c>
      <c r="E3" s="21" t="s">
        <v>28</v>
      </c>
      <c r="F3" s="17" t="s">
        <v>266</v>
      </c>
      <c r="G3" s="21" t="s">
        <v>33</v>
      </c>
      <c r="H3" s="18" t="str">
        <f t="shared" ref="H3:H21" si="0">CONCATENATE(A3,B3,C3,D3,E3,F3,G3)</f>
        <v>INSERT INTO TMS_TID_TKCO_DRVR (TK_CO_I, ID_CARD_I, DELETED, LAST_UPDATE_TM, LAST_UPDATE_USER_AN) VALUES ('ABDD','ABDD2','N',NOW_GMT(),'SYSTEM');</v>
      </c>
      <c r="I3" s="18" t="s">
        <v>214</v>
      </c>
      <c r="J3" s="197" t="s">
        <v>210</v>
      </c>
      <c r="K3" s="197" t="s">
        <v>75</v>
      </c>
      <c r="L3" s="197" t="s">
        <v>215</v>
      </c>
      <c r="M3" s="197" t="s">
        <v>210</v>
      </c>
      <c r="N3" s="197" t="s">
        <v>202</v>
      </c>
      <c r="O3" s="193" t="str">
        <f t="shared" ref="O3:O21" si="1">CONCATENATE(I3,D3,J3,K3,L3,F3,M3,K3,N3)</f>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'ABDD2' AND  SITE_KEY = (SELECT SKEY FROM CAT_SITE WHERE CODE = 'LQN')));</v>
      </c>
    </row>
    <row r="4" spans="1:15" ht="165" x14ac:dyDescent="0.25">
      <c r="A4" s="17" t="s">
        <v>36</v>
      </c>
      <c r="B4" s="17" t="s">
        <v>31</v>
      </c>
      <c r="C4" s="21" t="s">
        <v>32</v>
      </c>
      <c r="D4" s="10" t="s">
        <v>264</v>
      </c>
      <c r="E4" s="21" t="s">
        <v>28</v>
      </c>
      <c r="F4" s="17" t="s">
        <v>267</v>
      </c>
      <c r="G4" s="21" t="s">
        <v>33</v>
      </c>
      <c r="H4" s="18" t="str">
        <f t="shared" si="0"/>
        <v>INSERT INTO TMS_TID_TKCO_DRVR (TK_CO_I, ID_CARD_I, DELETED, LAST_UPDATE_TM, LAST_UPDATE_USER_AN) VALUES ('ABDD','ABDD3','N',NOW_GMT(),'SYSTEM');</v>
      </c>
      <c r="I4" s="18" t="s">
        <v>214</v>
      </c>
      <c r="J4" s="197" t="s">
        <v>210</v>
      </c>
      <c r="K4" s="197" t="s">
        <v>75</v>
      </c>
      <c r="L4" s="197" t="s">
        <v>215</v>
      </c>
      <c r="M4" s="197" t="s">
        <v>210</v>
      </c>
      <c r="N4" s="197" t="s">
        <v>202</v>
      </c>
      <c r="O4"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'ABDD3' AND  SITE_KEY = (SELECT SKEY FROM CAT_SITE WHERE CODE = 'LQN')));</v>
      </c>
    </row>
    <row r="5" spans="1:15" ht="165" x14ac:dyDescent="0.25">
      <c r="A5" s="17" t="s">
        <v>36</v>
      </c>
      <c r="B5" s="17" t="s">
        <v>31</v>
      </c>
      <c r="C5" s="21" t="s">
        <v>32</v>
      </c>
      <c r="D5" s="10" t="s">
        <v>264</v>
      </c>
      <c r="E5" s="21" t="s">
        <v>28</v>
      </c>
      <c r="F5" s="17" t="s">
        <v>268</v>
      </c>
      <c r="G5" s="21" t="s">
        <v>33</v>
      </c>
      <c r="H5" s="18" t="str">
        <f t="shared" si="0"/>
        <v>INSERT INTO TMS_TID_TKCO_DRVR (TK_CO_I, ID_CARD_I, DELETED, LAST_UPDATE_TM, LAST_UPDATE_USER_AN) VALUES ('ABDD','ABDD4','N',NOW_GMT(),'SYSTEM');</v>
      </c>
      <c r="I5" s="18" t="s">
        <v>214</v>
      </c>
      <c r="J5" s="197" t="s">
        <v>210</v>
      </c>
      <c r="K5" s="197" t="s">
        <v>75</v>
      </c>
      <c r="L5" s="197" t="s">
        <v>215</v>
      </c>
      <c r="M5" s="197" t="s">
        <v>210</v>
      </c>
      <c r="N5" s="197" t="s">
        <v>202</v>
      </c>
      <c r="O5"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'ABDD4' AND  SITE_KEY = (SELECT SKEY FROM CAT_SITE WHERE CODE = 'LQN')));</v>
      </c>
    </row>
    <row r="6" spans="1:15" ht="165" x14ac:dyDescent="0.25">
      <c r="A6" s="17" t="s">
        <v>36</v>
      </c>
      <c r="B6" s="17" t="s">
        <v>31</v>
      </c>
      <c r="C6" s="21" t="s">
        <v>32</v>
      </c>
      <c r="D6" s="10" t="s">
        <v>264</v>
      </c>
      <c r="E6" s="21" t="s">
        <v>28</v>
      </c>
      <c r="F6" s="17" t="s">
        <v>269</v>
      </c>
      <c r="G6" s="21" t="s">
        <v>33</v>
      </c>
      <c r="H6" s="18" t="str">
        <f t="shared" si="0"/>
        <v>INSERT INTO TMS_TID_TKCO_DRVR (TK_CO_I, ID_CARD_I, DELETED, LAST_UPDATE_TM, LAST_UPDATE_USER_AN) VALUES ('ABDD','ABDD5','N',NOW_GMT(),'SYSTEM');</v>
      </c>
      <c r="I6" s="18" t="s">
        <v>214</v>
      </c>
      <c r="J6" s="197" t="s">
        <v>210</v>
      </c>
      <c r="K6" s="197" t="s">
        <v>75</v>
      </c>
      <c r="L6" s="197" t="s">
        <v>215</v>
      </c>
      <c r="M6" s="197" t="s">
        <v>210</v>
      </c>
      <c r="N6" s="197" t="s">
        <v>202</v>
      </c>
      <c r="O6"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'ABDD5' AND  SITE_KEY = (SELECT SKEY FROM CAT_SITE WHERE CODE = 'LQN')));</v>
      </c>
    </row>
    <row r="7" spans="1:15" ht="165" x14ac:dyDescent="0.25">
      <c r="A7" s="17" t="s">
        <v>36</v>
      </c>
      <c r="B7" s="17" t="s">
        <v>31</v>
      </c>
      <c r="C7" s="21" t="s">
        <v>32</v>
      </c>
      <c r="D7" s="10" t="s">
        <v>264</v>
      </c>
      <c r="E7" s="21" t="s">
        <v>28</v>
      </c>
      <c r="F7" s="17" t="s">
        <v>270</v>
      </c>
      <c r="G7" s="21" t="s">
        <v>33</v>
      </c>
      <c r="H7" s="18" t="str">
        <f t="shared" si="0"/>
        <v>INSERT INTO TMS_TID_TKCO_DRVR (TK_CO_I, ID_CARD_I, DELETED, LAST_UPDATE_TM, LAST_UPDATE_USER_AN) VALUES ('ABDD','ABDD6','N',NOW_GMT(),'SYSTEM');</v>
      </c>
      <c r="I7" s="18" t="s">
        <v>214</v>
      </c>
      <c r="J7" s="197" t="s">
        <v>210</v>
      </c>
      <c r="K7" s="197" t="s">
        <v>75</v>
      </c>
      <c r="L7" s="197" t="s">
        <v>215</v>
      </c>
      <c r="M7" s="197" t="s">
        <v>210</v>
      </c>
      <c r="N7" s="197" t="s">
        <v>202</v>
      </c>
      <c r="O7"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'ABDD6' AND  SITE_KEY = (SELECT SKEY FROM CAT_SITE WHERE CODE = 'LQN')));</v>
      </c>
    </row>
    <row r="8" spans="1:15" ht="165" x14ac:dyDescent="0.25">
      <c r="A8" s="17" t="s">
        <v>36</v>
      </c>
      <c r="B8" s="17" t="s">
        <v>31</v>
      </c>
      <c r="C8" s="21" t="s">
        <v>32</v>
      </c>
      <c r="D8" s="10" t="s">
        <v>264</v>
      </c>
      <c r="E8" s="21" t="s">
        <v>28</v>
      </c>
      <c r="F8" s="17" t="s">
        <v>271</v>
      </c>
      <c r="G8" s="21" t="s">
        <v>33</v>
      </c>
      <c r="H8" s="18" t="str">
        <f t="shared" si="0"/>
        <v>INSERT INTO TMS_TID_TKCO_DRVR (TK_CO_I, ID_CARD_I, DELETED, LAST_UPDATE_TM, LAST_UPDATE_USER_AN) VALUES ('ABDD','ABDD7','N',NOW_GMT(),'SYSTEM');</v>
      </c>
      <c r="I8" s="18" t="s">
        <v>214</v>
      </c>
      <c r="J8" s="197" t="s">
        <v>210</v>
      </c>
      <c r="K8" s="197" t="s">
        <v>75</v>
      </c>
      <c r="L8" s="197" t="s">
        <v>215</v>
      </c>
      <c r="M8" s="197" t="s">
        <v>210</v>
      </c>
      <c r="N8" s="197" t="s">
        <v>202</v>
      </c>
      <c r="O8"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'ABDD7' AND  SITE_KEY = (SELECT SKEY FROM CAT_SITE WHERE CODE = 'LQN')));</v>
      </c>
    </row>
    <row r="9" spans="1:15" ht="165" x14ac:dyDescent="0.25">
      <c r="A9" s="17" t="s">
        <v>36</v>
      </c>
      <c r="B9" s="17" t="s">
        <v>31</v>
      </c>
      <c r="C9" s="21" t="s">
        <v>32</v>
      </c>
      <c r="D9" s="10" t="s">
        <v>264</v>
      </c>
      <c r="E9" s="21" t="s">
        <v>28</v>
      </c>
      <c r="F9" s="17" t="s">
        <v>272</v>
      </c>
      <c r="G9" s="21" t="s">
        <v>33</v>
      </c>
      <c r="H9" s="18" t="str">
        <f t="shared" si="0"/>
        <v>INSERT INTO TMS_TID_TKCO_DRVR (TK_CO_I, ID_CARD_I, DELETED, LAST_UPDATE_TM, LAST_UPDATE_USER_AN) VALUES ('ABDD','ABDD8','N',NOW_GMT(),'SYSTEM');</v>
      </c>
      <c r="I9" s="18" t="s">
        <v>214</v>
      </c>
      <c r="J9" s="197" t="s">
        <v>210</v>
      </c>
      <c r="K9" s="197" t="s">
        <v>75</v>
      </c>
      <c r="L9" s="197" t="s">
        <v>215</v>
      </c>
      <c r="M9" s="197" t="s">
        <v>210</v>
      </c>
      <c r="N9" s="197" t="s">
        <v>202</v>
      </c>
      <c r="O9"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'ABDD8' AND  SITE_KEY = (SELECT SKEY FROM CAT_SITE WHERE CODE = 'LQN')));</v>
      </c>
    </row>
    <row r="10" spans="1:15" ht="165" x14ac:dyDescent="0.25">
      <c r="A10" s="17" t="s">
        <v>36</v>
      </c>
      <c r="B10" s="17" t="s">
        <v>31</v>
      </c>
      <c r="C10" s="21" t="s">
        <v>32</v>
      </c>
      <c r="D10" s="10" t="s">
        <v>264</v>
      </c>
      <c r="E10" s="21" t="s">
        <v>28</v>
      </c>
      <c r="F10" s="17" t="s">
        <v>273</v>
      </c>
      <c r="G10" s="21" t="s">
        <v>33</v>
      </c>
      <c r="H10" s="18" t="str">
        <f t="shared" si="0"/>
        <v>INSERT INTO TMS_TID_TKCO_DRVR (TK_CO_I, ID_CARD_I, DELETED, LAST_UPDATE_TM, LAST_UPDATE_USER_AN) VALUES ('ABDD','ABDD9','N',NOW_GMT(),'SYSTEM');</v>
      </c>
      <c r="I10" s="18" t="s">
        <v>214</v>
      </c>
      <c r="J10" s="197" t="s">
        <v>210</v>
      </c>
      <c r="K10" s="197" t="s">
        <v>75</v>
      </c>
      <c r="L10" s="197" t="s">
        <v>215</v>
      </c>
      <c r="M10" s="197" t="s">
        <v>210</v>
      </c>
      <c r="N10" s="197" t="s">
        <v>202</v>
      </c>
      <c r="O10"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'ABDD9' AND  SITE_KEY = (SELECT SKEY FROM CAT_SITE WHERE CODE = 'LQN')));</v>
      </c>
    </row>
    <row r="11" spans="1:15" ht="165" x14ac:dyDescent="0.25">
      <c r="A11" s="17" t="s">
        <v>36</v>
      </c>
      <c r="B11" s="17" t="s">
        <v>31</v>
      </c>
      <c r="C11" s="21" t="s">
        <v>32</v>
      </c>
      <c r="D11" s="10" t="s">
        <v>264</v>
      </c>
      <c r="E11" s="21" t="s">
        <v>28</v>
      </c>
      <c r="F11" s="17" t="s">
        <v>274</v>
      </c>
      <c r="G11" s="21" t="s">
        <v>33</v>
      </c>
      <c r="H11" s="18" t="str">
        <f t="shared" si="0"/>
        <v>INSERT INTO TMS_TID_TKCO_DRVR (TK_CO_I, ID_CARD_I, DELETED, LAST_UPDATE_TM, LAST_UPDATE_USER_AN) VALUES ('ABDD','ABDD10','N',NOW_GMT(),'SYSTEM');</v>
      </c>
      <c r="I11" s="18" t="s">
        <v>214</v>
      </c>
      <c r="J11" s="197" t="s">
        <v>210</v>
      </c>
      <c r="K11" s="197" t="s">
        <v>75</v>
      </c>
      <c r="L11" s="197" t="s">
        <v>215</v>
      </c>
      <c r="M11" s="197" t="s">
        <v>210</v>
      </c>
      <c r="N11" s="197" t="s">
        <v>202</v>
      </c>
      <c r="O11"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'ABDD10' AND  SITE_KEY = (SELECT SKEY FROM CAT_SITE WHERE CODE = 'LQN')));</v>
      </c>
    </row>
    <row r="12" spans="1:15" ht="165" x14ac:dyDescent="0.25">
      <c r="A12" s="17" t="s">
        <v>36</v>
      </c>
      <c r="B12" s="17" t="s">
        <v>31</v>
      </c>
      <c r="C12" s="21" t="s">
        <v>32</v>
      </c>
      <c r="D12" s="10" t="s">
        <v>264</v>
      </c>
      <c r="E12" s="21" t="s">
        <v>28</v>
      </c>
      <c r="F12" s="17" t="s">
        <v>275</v>
      </c>
      <c r="G12" s="21" t="s">
        <v>33</v>
      </c>
      <c r="H12" s="18" t="str">
        <f t="shared" si="0"/>
        <v>INSERT INTO TMS_TID_TKCO_DRVR (TK_CO_I, ID_CARD_I, DELETED, LAST_UPDATE_TM, LAST_UPDATE_USER_AN) VALUES ('ABDD','ABDD11','N',NOW_GMT(),'SYSTEM');</v>
      </c>
      <c r="I12" s="18" t="s">
        <v>214</v>
      </c>
      <c r="J12" s="197" t="s">
        <v>210</v>
      </c>
      <c r="K12" s="197" t="s">
        <v>75</v>
      </c>
      <c r="L12" s="197" t="s">
        <v>215</v>
      </c>
      <c r="M12" s="197" t="s">
        <v>210</v>
      </c>
      <c r="N12" s="197" t="s">
        <v>202</v>
      </c>
      <c r="O12"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'ABDD11' AND  SITE_KEY = (SELECT SKEY FROM CAT_SITE WHERE CODE = 'LQN')));</v>
      </c>
    </row>
    <row r="13" spans="1:15" ht="165" x14ac:dyDescent="0.25">
      <c r="A13" s="17" t="s">
        <v>36</v>
      </c>
      <c r="B13" s="17" t="s">
        <v>31</v>
      </c>
      <c r="C13" s="21" t="s">
        <v>32</v>
      </c>
      <c r="D13" s="10" t="s">
        <v>264</v>
      </c>
      <c r="E13" s="21" t="s">
        <v>28</v>
      </c>
      <c r="F13" s="17" t="s">
        <v>276</v>
      </c>
      <c r="G13" s="21" t="s">
        <v>33</v>
      </c>
      <c r="H13" s="18" t="str">
        <f t="shared" si="0"/>
        <v>INSERT INTO TMS_TID_TKCO_DRVR (TK_CO_I, ID_CARD_I, DELETED, LAST_UPDATE_TM, LAST_UPDATE_USER_AN) VALUES ('ABDD','ABDD12','N',NOW_GMT(),'SYSTEM');</v>
      </c>
      <c r="I13" s="18" t="s">
        <v>214</v>
      </c>
      <c r="J13" s="197" t="s">
        <v>210</v>
      </c>
      <c r="K13" s="197" t="s">
        <v>75</v>
      </c>
      <c r="L13" s="197" t="s">
        <v>215</v>
      </c>
      <c r="M13" s="197" t="s">
        <v>210</v>
      </c>
      <c r="N13" s="197" t="s">
        <v>202</v>
      </c>
      <c r="O13"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'ABDD12' AND  SITE_KEY = (SELECT SKEY FROM CAT_SITE WHERE CODE = 'LQN')));</v>
      </c>
    </row>
    <row r="14" spans="1:15" ht="165" x14ac:dyDescent="0.25">
      <c r="A14" s="17" t="s">
        <v>36</v>
      </c>
      <c r="B14" s="17" t="s">
        <v>31</v>
      </c>
      <c r="C14" s="21" t="s">
        <v>32</v>
      </c>
      <c r="D14" s="10" t="s">
        <v>264</v>
      </c>
      <c r="E14" s="21" t="s">
        <v>28</v>
      </c>
      <c r="F14" s="17" t="s">
        <v>277</v>
      </c>
      <c r="G14" s="21" t="s">
        <v>33</v>
      </c>
      <c r="H14" s="18" t="str">
        <f t="shared" si="0"/>
        <v>INSERT INTO TMS_TID_TKCO_DRVR (TK_CO_I, ID_CARD_I, DELETED, LAST_UPDATE_TM, LAST_UPDATE_USER_AN) VALUES ('ABDD','ABDD13','N',NOW_GMT(),'SYSTEM');</v>
      </c>
      <c r="I14" s="18" t="s">
        <v>214</v>
      </c>
      <c r="J14" s="197" t="s">
        <v>210</v>
      </c>
      <c r="K14" s="197" t="s">
        <v>75</v>
      </c>
      <c r="L14" s="197" t="s">
        <v>215</v>
      </c>
      <c r="M14" s="197" t="s">
        <v>210</v>
      </c>
      <c r="N14" s="197" t="s">
        <v>202</v>
      </c>
      <c r="O14"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'ABDD13' AND  SITE_KEY = (SELECT SKEY FROM CAT_SITE WHERE CODE = 'LQN')));</v>
      </c>
    </row>
    <row r="15" spans="1:15" ht="165" x14ac:dyDescent="0.25">
      <c r="A15" s="17" t="s">
        <v>36</v>
      </c>
      <c r="B15" s="17" t="s">
        <v>31</v>
      </c>
      <c r="C15" s="21" t="s">
        <v>32</v>
      </c>
      <c r="D15" s="10" t="s">
        <v>264</v>
      </c>
      <c r="E15" s="21" t="s">
        <v>28</v>
      </c>
      <c r="F15" s="17" t="s">
        <v>278</v>
      </c>
      <c r="G15" s="21" t="s">
        <v>33</v>
      </c>
      <c r="H15" s="18" t="str">
        <f t="shared" si="0"/>
        <v>INSERT INTO TMS_TID_TKCO_DRVR (TK_CO_I, ID_CARD_I, DELETED, LAST_UPDATE_TM, LAST_UPDATE_USER_AN) VALUES ('ABDD','ABDD14','N',NOW_GMT(),'SYSTEM');</v>
      </c>
      <c r="I15" s="18" t="s">
        <v>214</v>
      </c>
      <c r="J15" s="197" t="s">
        <v>210</v>
      </c>
      <c r="K15" s="197" t="s">
        <v>75</v>
      </c>
      <c r="L15" s="197" t="s">
        <v>215</v>
      </c>
      <c r="M15" s="197" t="s">
        <v>210</v>
      </c>
      <c r="N15" s="197" t="s">
        <v>202</v>
      </c>
      <c r="O15"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'ABDD14' AND  SITE_KEY = (SELECT SKEY FROM CAT_SITE WHERE CODE = 'LQN')));</v>
      </c>
    </row>
    <row r="16" spans="1:15" ht="165" x14ac:dyDescent="0.25">
      <c r="A16" s="17" t="s">
        <v>36</v>
      </c>
      <c r="B16" s="17" t="s">
        <v>31</v>
      </c>
      <c r="C16" s="21" t="s">
        <v>32</v>
      </c>
      <c r="D16" s="10" t="s">
        <v>264</v>
      </c>
      <c r="E16" s="21" t="s">
        <v>28</v>
      </c>
      <c r="F16" s="17" t="s">
        <v>279</v>
      </c>
      <c r="G16" s="21" t="s">
        <v>33</v>
      </c>
      <c r="H16" s="18" t="str">
        <f t="shared" si="0"/>
        <v>INSERT INTO TMS_TID_TKCO_DRVR (TK_CO_I, ID_CARD_I, DELETED, LAST_UPDATE_TM, LAST_UPDATE_USER_AN) VALUES ('ABDD','ABDD15','N',NOW_GMT(),'SYSTEM');</v>
      </c>
      <c r="I16" s="18" t="s">
        <v>214</v>
      </c>
      <c r="J16" s="197" t="s">
        <v>210</v>
      </c>
      <c r="K16" s="197" t="s">
        <v>75</v>
      </c>
      <c r="L16" s="197" t="s">
        <v>215</v>
      </c>
      <c r="M16" s="197" t="s">
        <v>210</v>
      </c>
      <c r="N16" s="197" t="s">
        <v>202</v>
      </c>
      <c r="O16"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'ABDD15' AND  SITE_KEY = (SELECT SKEY FROM CAT_SITE WHERE CODE = 'LQN')));</v>
      </c>
    </row>
    <row r="17" spans="1:15" ht="165" x14ac:dyDescent="0.25">
      <c r="A17" s="17" t="s">
        <v>36</v>
      </c>
      <c r="B17" s="17" t="s">
        <v>31</v>
      </c>
      <c r="C17" s="21" t="s">
        <v>32</v>
      </c>
      <c r="D17" s="10" t="s">
        <v>264</v>
      </c>
      <c r="E17" s="21" t="s">
        <v>28</v>
      </c>
      <c r="F17" s="17" t="s">
        <v>280</v>
      </c>
      <c r="G17" s="21" t="s">
        <v>33</v>
      </c>
      <c r="H17" s="18" t="str">
        <f t="shared" si="0"/>
        <v>INSERT INTO TMS_TID_TKCO_DRVR (TK_CO_I, ID_CARD_I, DELETED, LAST_UPDATE_TM, LAST_UPDATE_USER_AN) VALUES ('ABDD','ABDD16','N',NOW_GMT(),'SYSTEM');</v>
      </c>
      <c r="I17" s="18" t="s">
        <v>214</v>
      </c>
      <c r="J17" s="197" t="s">
        <v>210</v>
      </c>
      <c r="K17" s="197" t="s">
        <v>75</v>
      </c>
      <c r="L17" s="197" t="s">
        <v>215</v>
      </c>
      <c r="M17" s="197" t="s">
        <v>210</v>
      </c>
      <c r="N17" s="197" t="s">
        <v>202</v>
      </c>
      <c r="O17"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'ABDD16' AND  SITE_KEY = (SELECT SKEY FROM CAT_SITE WHERE CODE = 'LQN')));</v>
      </c>
    </row>
    <row r="18" spans="1:15" ht="165" x14ac:dyDescent="0.25">
      <c r="A18" s="17" t="s">
        <v>36</v>
      </c>
      <c r="B18" s="17" t="s">
        <v>31</v>
      </c>
      <c r="C18" s="21" t="s">
        <v>32</v>
      </c>
      <c r="D18" s="10" t="s">
        <v>264</v>
      </c>
      <c r="E18" s="21" t="s">
        <v>28</v>
      </c>
      <c r="F18" s="17" t="s">
        <v>281</v>
      </c>
      <c r="G18" s="21" t="s">
        <v>33</v>
      </c>
      <c r="H18" s="18" t="str">
        <f t="shared" si="0"/>
        <v>INSERT INTO TMS_TID_TKCO_DRVR (TK_CO_I, ID_CARD_I, DELETED, LAST_UPDATE_TM, LAST_UPDATE_USER_AN) VALUES ('ABDD','ABDD17','N',NOW_GMT(),'SYSTEM');</v>
      </c>
      <c r="I18" s="18" t="s">
        <v>214</v>
      </c>
      <c r="J18" s="197" t="s">
        <v>210</v>
      </c>
      <c r="K18" s="197" t="s">
        <v>75</v>
      </c>
      <c r="L18" s="197" t="s">
        <v>215</v>
      </c>
      <c r="M18" s="197" t="s">
        <v>210</v>
      </c>
      <c r="N18" s="197" t="s">
        <v>202</v>
      </c>
      <c r="O18"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'ABDD17' AND  SITE_KEY = (SELECT SKEY FROM CAT_SITE WHERE CODE = 'LQN')));</v>
      </c>
    </row>
    <row r="19" spans="1:15" ht="165" x14ac:dyDescent="0.25">
      <c r="A19" s="17" t="s">
        <v>36</v>
      </c>
      <c r="B19" s="17" t="s">
        <v>31</v>
      </c>
      <c r="C19" s="21" t="s">
        <v>32</v>
      </c>
      <c r="D19" s="10" t="s">
        <v>264</v>
      </c>
      <c r="E19" s="21" t="s">
        <v>28</v>
      </c>
      <c r="F19" s="17" t="s">
        <v>282</v>
      </c>
      <c r="G19" s="21" t="s">
        <v>33</v>
      </c>
      <c r="H19" s="18" t="str">
        <f t="shared" si="0"/>
        <v>INSERT INTO TMS_TID_TKCO_DRVR (TK_CO_I, ID_CARD_I, DELETED, LAST_UPDATE_TM, LAST_UPDATE_USER_AN) VALUES ('ABDD','ABDD18','N',NOW_GMT(),'SYSTEM');</v>
      </c>
      <c r="I19" s="18" t="s">
        <v>214</v>
      </c>
      <c r="J19" s="197" t="s">
        <v>210</v>
      </c>
      <c r="K19" s="197" t="s">
        <v>75</v>
      </c>
      <c r="L19" s="197" t="s">
        <v>215</v>
      </c>
      <c r="M19" s="197" t="s">
        <v>210</v>
      </c>
      <c r="N19" s="197" t="s">
        <v>202</v>
      </c>
      <c r="O19"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'ABDD18' AND  SITE_KEY = (SELECT SKEY FROM CAT_SITE WHERE CODE = 'LQN')));</v>
      </c>
    </row>
    <row r="20" spans="1:15" ht="165" x14ac:dyDescent="0.25">
      <c r="A20" s="17" t="s">
        <v>36</v>
      </c>
      <c r="B20" s="17" t="s">
        <v>31</v>
      </c>
      <c r="C20" s="21" t="s">
        <v>32</v>
      </c>
      <c r="D20" s="10" t="s">
        <v>264</v>
      </c>
      <c r="E20" s="21" t="s">
        <v>28</v>
      </c>
      <c r="F20" s="17" t="s">
        <v>283</v>
      </c>
      <c r="G20" s="21" t="s">
        <v>33</v>
      </c>
      <c r="H20" s="18" t="str">
        <f t="shared" si="0"/>
        <v>INSERT INTO TMS_TID_TKCO_DRVR (TK_CO_I, ID_CARD_I, DELETED, LAST_UPDATE_TM, LAST_UPDATE_USER_AN) VALUES ('ABDD','ABDD19','N',NOW_GMT(),'SYSTEM');</v>
      </c>
      <c r="I20" s="18" t="s">
        <v>214</v>
      </c>
      <c r="J20" s="197" t="s">
        <v>210</v>
      </c>
      <c r="K20" s="197" t="s">
        <v>75</v>
      </c>
      <c r="L20" s="197" t="s">
        <v>215</v>
      </c>
      <c r="M20" s="197" t="s">
        <v>210</v>
      </c>
      <c r="N20" s="197" t="s">
        <v>202</v>
      </c>
      <c r="O20"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'ABDD19' AND  SITE_KEY = (SELECT SKEY FROM CAT_SITE WHERE CODE = 'LQN')));</v>
      </c>
    </row>
    <row r="21" spans="1:15" ht="165" x14ac:dyDescent="0.25">
      <c r="A21" s="17" t="s">
        <v>36</v>
      </c>
      <c r="B21" s="17" t="s">
        <v>31</v>
      </c>
      <c r="C21" s="21" t="s">
        <v>32</v>
      </c>
      <c r="D21" s="10" t="s">
        <v>264</v>
      </c>
      <c r="E21" s="21" t="s">
        <v>28</v>
      </c>
      <c r="F21" s="17" t="s">
        <v>284</v>
      </c>
      <c r="G21" s="21" t="s">
        <v>33</v>
      </c>
      <c r="H21" s="18" t="str">
        <f t="shared" si="0"/>
        <v>INSERT INTO TMS_TID_TKCO_DRVR (TK_CO_I, ID_CARD_I, DELETED, LAST_UPDATE_TM, LAST_UPDATE_USER_AN) VALUES ('ABDD','ABDD20','N',NOW_GMT(),'SYSTEM');</v>
      </c>
      <c r="I21" s="18" t="s">
        <v>214</v>
      </c>
      <c r="J21" s="197" t="s">
        <v>210</v>
      </c>
      <c r="K21" s="197" t="s">
        <v>75</v>
      </c>
      <c r="L21" s="197" t="s">
        <v>215</v>
      </c>
      <c r="M21" s="197" t="s">
        <v>210</v>
      </c>
      <c r="N21" s="197" t="s">
        <v>202</v>
      </c>
      <c r="O21" s="193" t="str">
        <f t="shared" si="1"/>
        <v>INSERT INTO TOS_TRUCK_COMPANY_DRIVER(SKEY,TRUCK_COMPANY_KEY,DRIVER_KEY) values (NEXTVAL('ZARA_SEQUENCE'),(SELECT SKEY FROM TOS_TRUCK_COMPANY WHERE BIZ_UNIT_KEY = (SELECT SKEY FROM CAT_BIZ_UNIT WHERE BIZ_TYPE_CODE = 'TRUCKING_COMPANY' AND CODE = 'ABDD' AND  SITE_KEY = (SELECT SKEY FROM CAT_SITE WHERE CODE = 'LQN'))),(SELECT SKEY FROM TOS_DRIVER WHERE DRIVER_ID = 'ABDD20' AND  SITE_KEY = (SELECT SKEY FROM CAT_SITE WHERE CODE = 'LQN')));</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Main</vt:lpstr>
      <vt:lpstr>configurations</vt:lpstr>
      <vt:lpstr>appointment</vt:lpstr>
      <vt:lpstr>export</vt:lpstr>
      <vt:lpstr>import</vt:lpstr>
      <vt:lpstr>add trucking company</vt:lpstr>
      <vt:lpstr>add tractor</vt:lpstr>
      <vt:lpstr>relate tractor to company</vt:lpstr>
      <vt:lpstr>add driver</vt:lpstr>
      <vt:lpstr>relate driver to company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Zandra Etorma</dc:creator>
  <cp:lastModifiedBy>Zandra Etorma</cp:lastModifiedBy>
  <dcterms:created xsi:type="dcterms:W3CDTF">2023-04-25T12:32:04Z</dcterms:created>
  <dcterms:modified xsi:type="dcterms:W3CDTF">2023-09-12T07:01:23Z</dcterms:modified>
</cp:coreProperties>
</file>